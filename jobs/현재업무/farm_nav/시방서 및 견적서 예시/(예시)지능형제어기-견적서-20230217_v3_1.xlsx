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견적서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<sst xmlns="http://schemas.openxmlformats.org/spreadsheetml/2006/main" count="45" uniqueCount="45">
  <si>
    <t xml:space="preserve">견  적  서</t>
  </si>
  <si>
    <t xml:space="preserve">국립농업과학원</t>
  </si>
  <si>
    <t xml:space="preserve">貴中</t>
  </si>
  <si>
    <t xml:space="preserve">공
급
자</t>
  </si>
  <si>
    <t xml:space="preserve">등록번호</t>
  </si>
  <si>
    <t xml:space="preserve">281-87-02364</t>
  </si>
  <si>
    <t xml:space="preserve">상      호</t>
  </si>
  <si>
    <t xml:space="preserve">주식회사 파모스</t>
  </si>
  <si>
    <t xml:space="preserve">견적일자 : 2023년 02월 17일</t>
  </si>
  <si>
    <t xml:space="preserve">대표자명</t>
  </si>
  <si>
    <t xml:space="preserve">이세용 (인)</t>
  </si>
  <si>
    <t xml:space="preserve">배송조건 : 일괄납품</t>
  </si>
  <si>
    <t xml:space="preserve">주      소</t>
  </si>
  <si>
    <t xml:space="preserve"> 경기도 용인시 기흥구 동백중앙로 191, 8층 비8874호</t>
  </si>
  <si>
    <t xml:space="preserve">지불조건 : 현금</t>
  </si>
  <si>
    <t xml:space="preserve">업태/종목</t>
  </si>
  <si>
    <t xml:space="preserve">정보통신업/소프트웨어개발</t>
  </si>
  <si>
    <t xml:space="preserve">유효기간 : 발행후 30일</t>
  </si>
  <si>
    <t xml:space="preserve">회사전화</t>
  </si>
  <si>
    <t xml:space="preserve">031-360-4152</t>
  </si>
  <si>
    <t xml:space="preserve">회사메일</t>
  </si>
  <si>
    <t xml:space="preserve">mail@farmos.co.kr</t>
  </si>
  <si>
    <t xml:space="preserve">견적합계 :</t>
  </si>
  <si>
    <t xml:space="preserve">VAT포함</t>
  </si>
  <si>
    <t xml:space="preserve">No</t>
  </si>
  <si>
    <t xml:space="preserve">품목</t>
  </si>
  <si>
    <t xml:space="preserve">수량</t>
  </si>
  <si>
    <t xml:space="preserve">단가</t>
  </si>
  <si>
    <t xml:space="preserve">공급가</t>
  </si>
  <si>
    <t xml:space="preserve">세액</t>
  </si>
  <si>
    <t xml:space="preserve">총계</t>
  </si>
  <si>
    <t xml:space="preserve">비고</t>
  </si>
  <si>
    <t xml:space="preserve">에지제어시스템</t>
  </si>
  <si>
    <t xml:space="preserve">- AI 성능 : 275 TOPS
- GPU: NVIDIA Ampere architecture with 2048 NVIDIA CUDA cores and 64 tensor cores
- 프로세서 : 12-core Arm Cortex-A78AE v8.2 64-bit CPU 3MB L2 + 6MB L3
- 메모리 : 32GB 256-bit LPDDR5 | 204.8 GB/s
- 저장공간 : 64GB eMMC 5.1</t>
  </si>
  <si>
    <t xml:space="preserve">환경제어시스템 </t>
  </si>
  <si>
    <t xml:space="preserve">- 프로세서 : Intel Cherry Trail Z8350 Quad-Core Processor
- 메모리 : 4GB DDR3L
- 저장공간: 64GB
- GPU: Intel HD Graphics, 12 EUs @200-500Mhz, single-channel memory
- 포트 : USB 3.0 x 1, USB 2.0 x 2
- 통신 : Wi-Fi 802.11n 2.4G, Bluetooth 4.0, 100Mbps Ethernet
- 코프로세서 : ATmega32u4 (Arduino Leonardo)
- GPIO : Intel Processor GPIO x 6, ATmega Processor GPIO x 20</t>
  </si>
  <si>
    <t xml:space="preserve">표준통신노드</t>
  </si>
  <si>
    <t xml:space="preserve">- RS-485 Modbus KS X 3267 지원
- 연동 장비
   - 센서 
   - 구동기</t>
  </si>
  <si>
    <t xml:space="preserve">인건비</t>
  </si>
  <si>
    <t xml:space="preserve">- 설계 및 커스터마이징 인건비 </t>
  </si>
  <si>
    <t xml:space="preserve">공급금액</t>
  </si>
  <si>
    <t xml:space="preserve">※ 귀사의 일익 번창하심을 기원합니다.</t>
  </si>
  <si>
    <t xml:space="preserve">세      액</t>
  </si>
  <si>
    <t xml:space="preserve">합계금액</t>
  </si>
  <si>
    <t xml:space="preserve">[특기사항]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</si>
</sst>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/d/yyyy"/>
    <numFmt numFmtId="166" formatCode="000\-000"/>
    <numFmt numFmtId="167" formatCode="&quot;(₩&quot;#,##0\);&quot;(-₩&quot;#,##0\)"/>
    <numFmt numFmtId="168" formatCode="_-* #,##0_-;\-* #,##0_-;_-* \-_-;_-@"/>
    <numFmt numFmtId="169" formatCode="#,##0_ "/>
  </numFmts>
  <fonts count="18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Dotum"/>
      <family val="3"/>
      <charset val="129"/>
    </font>
    <font>
      <b val="true"/>
      <sz val="18"/>
      <color rgb="FF000000"/>
      <name val="Dotum"/>
      <family val="3"/>
      <charset val="129"/>
    </font>
    <font>
      <b val="true"/>
      <sz val="14"/>
      <color rgb="FF000000"/>
      <name val="Dotum"/>
      <family val="3"/>
      <charset val="129"/>
    </font>
    <font>
      <b val="true"/>
      <sz val="10"/>
      <color rgb="FF000000"/>
      <name val="Dotum"/>
      <family val="3"/>
      <charset val="129"/>
    </font>
    <font>
      <b val="true"/>
      <u val="single"/>
      <sz val="14"/>
      <color rgb="FF000000"/>
      <name val="Dotum"/>
      <family val="3"/>
      <charset val="129"/>
    </font>
    <font>
      <sz val="9"/>
      <color rgb="FF000000"/>
      <name val="Dotum"/>
      <family val="3"/>
      <charset val="129"/>
    </font>
    <font>
      <sz val="9"/>
      <color rgb="FF000000"/>
      <name val="Gulim"/>
      <family val="3"/>
      <charset val="129"/>
    </font>
    <font>
      <sz val="7"/>
      <color rgb="FF000000"/>
      <name val="Dotum"/>
      <family val="3"/>
      <charset val="129"/>
    </font>
    <font>
      <sz val="11"/>
      <color rgb="FF000000"/>
      <name val="Dotum"/>
      <family val="3"/>
      <charset val="129"/>
    </font>
    <font>
      <u val="single"/>
      <sz val="11"/>
      <color rgb="FF0000FF"/>
      <name val="Dotum"/>
      <family val="3"/>
      <charset val="129"/>
    </font>
    <font>
      <b val="true"/>
      <sz val="9"/>
      <color rgb="FF000000"/>
      <name val="Dotum"/>
      <family val="3"/>
      <charset val="129"/>
    </font>
    <font>
      <b val="true"/>
      <sz val="11"/>
      <color rgb="FF000000"/>
      <name val="Dotum"/>
      <family val="3"/>
      <charset val="129"/>
    </font>
    <font>
      <b val="true"/>
      <sz val="10"/>
      <color rgb="FF000000"/>
      <name val="Gulim"/>
      <family val="3"/>
      <charset val="129"/>
    </font>
    <font>
      <sz val="10"/>
      <color rgb="FF000000"/>
      <name val="Dotum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</fills>
  <borders count="32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>
        <color rgb="FF808080"/>
      </right>
      <top style="medium"/>
      <bottom style="thin">
        <color rgb="FF808080"/>
      </bottom>
      <diagonal/>
    </border>
    <border diagonalUp="false" diagonalDown="false">
      <left style="thin">
        <color rgb="FF808080"/>
      </left>
      <right style="medium"/>
      <top style="medium"/>
      <bottom style="thin">
        <color rgb="FF808080"/>
      </bottom>
      <diagonal/>
    </border>
    <border diagonalUp="false" diagonalDown="false">
      <left style="thin"/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medium"/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>
        <color rgb="FF808080"/>
      </right>
      <top style="thin">
        <color rgb="FF808080"/>
      </top>
      <bottom style="medium"/>
      <diagonal/>
    </border>
    <border diagonalUp="false" diagonalDown="false">
      <left style="thin">
        <color rgb="FF808080"/>
      </left>
      <right style="medium"/>
      <top style="thin">
        <color rgb="FF808080"/>
      </top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tru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5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0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9" fontId="17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3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0" borderId="2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3" borderId="2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9" fontId="17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3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3" borderId="1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3" borderId="2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2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47520</xdr:colOff>
      <xdr:row>5</xdr:row>
      <xdr:rowOff>85680</xdr:rowOff>
    </xdr:from>
    <xdr:to>
      <xdr:col>8</xdr:col>
      <xdr:colOff>618840</xdr:colOff>
      <xdr:row>7</xdr:row>
      <xdr:rowOff>94680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7439040" y="1152360"/>
          <a:ext cx="571320" cy="5043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mail@farmos.co.kr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333333"/>
    <pageSetUpPr fitToPage="false"/>
  </sheetPr>
  <dimension ref="A1:I993"/>
  <sheetViews>
    <sheetView showFormulas="false" showGridLines="false" showRowColHeaders="true" showZeros="true" rightToLeft="false" tabSelected="true" showOutlineSymbols="true" defaultGridColor="true" view="normal" topLeftCell="A4" colorId="64" zoomScale="85" zoomScaleNormal="85" zoomScalePageLayoutView="100" workbookViewId="0">
      <selection pane="topLeft" activeCell="B22" activeCellId="0" sqref="B22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9.71"/>
    <col collapsed="false" customWidth="true" hidden="false" outlineLevel="0" max="2" min="2" style="0" width="24.28"/>
    <col collapsed="false" customWidth="true" hidden="false" outlineLevel="0" max="3" min="3" style="0" width="5"/>
    <col collapsed="false" customWidth="true" hidden="false" outlineLevel="0" max="4" min="4" style="0" width="12.28"/>
    <col collapsed="false" customWidth="true" hidden="false" outlineLevel="0" max="5" min="5" style="0" width="7.71"/>
    <col collapsed="false" customWidth="true" hidden="false" outlineLevel="0" max="6" min="6" style="0" width="3.43"/>
    <col collapsed="false" customWidth="true" hidden="false" outlineLevel="0" max="7" min="7" style="0" width="10.43"/>
    <col collapsed="false" customWidth="true" hidden="false" outlineLevel="0" max="8" min="8" style="0" width="10.28"/>
    <col collapsed="false" customWidth="true" hidden="false" outlineLevel="0" max="9" min="9" style="0" width="13.43"/>
    <col collapsed="false" customWidth="true" hidden="false" outlineLevel="0" max="26" min="10" style="0" width="8.71"/>
  </cols>
  <sheetData>
    <row r="1" customFormat="false" ht="13.5" hidden="false" customHeight="true" outlineLevel="0" collapsed="false">
      <c r="A1" s="1"/>
      <c r="B1" s="1"/>
    </row>
    <row r="2" customFormat="false" ht="6" hidden="false" customHeight="true" outlineLevel="0" collapsed="false">
      <c r="A2" s="1"/>
      <c r="B2" s="2"/>
      <c r="C2" s="1"/>
      <c r="G2" s="1"/>
      <c r="H2" s="1"/>
      <c r="I2" s="1"/>
    </row>
    <row r="3" customFormat="false" ht="31.5" hidden="false" customHeight="true" outlineLevel="0" collapsed="false">
      <c r="A3" s="3" t="s">
        <v>0</v>
      </c>
      <c r="B3" s="3"/>
      <c r="C3" s="3"/>
      <c r="D3" s="3"/>
      <c r="E3" s="3"/>
      <c r="F3" s="3"/>
      <c r="G3" s="3"/>
      <c r="H3" s="3"/>
      <c r="I3" s="3"/>
    </row>
    <row r="4" customFormat="false" ht="13.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</row>
    <row r="5" customFormat="false" ht="19.5" hidden="false" customHeight="true" outlineLevel="0" collapsed="false">
      <c r="A5" s="5" t="s">
        <v>1</v>
      </c>
      <c r="B5" s="5"/>
      <c r="C5" s="6" t="s">
        <v>2</v>
      </c>
      <c r="D5" s="7"/>
      <c r="E5" s="8"/>
      <c r="F5" s="9" t="s">
        <v>3</v>
      </c>
      <c r="G5" s="10" t="s">
        <v>4</v>
      </c>
      <c r="H5" s="11" t="s">
        <v>5</v>
      </c>
      <c r="I5" s="11"/>
    </row>
    <row r="6" customFormat="false" ht="19.5" hidden="false" customHeight="true" outlineLevel="0" collapsed="false">
      <c r="A6" s="12"/>
      <c r="B6" s="12"/>
      <c r="C6" s="6"/>
      <c r="D6" s="7"/>
      <c r="E6" s="8"/>
      <c r="F6" s="9"/>
      <c r="G6" s="13" t="s">
        <v>6</v>
      </c>
      <c r="H6" s="14" t="s">
        <v>7</v>
      </c>
      <c r="I6" s="14"/>
    </row>
    <row r="7" customFormat="false" ht="19.5" hidden="false" customHeight="true" outlineLevel="0" collapsed="false">
      <c r="A7" s="15" t="s">
        <v>8</v>
      </c>
      <c r="B7" s="16"/>
      <c r="C7" s="7"/>
      <c r="D7" s="7"/>
      <c r="E7" s="7"/>
      <c r="F7" s="9"/>
      <c r="G7" s="13" t="s">
        <v>9</v>
      </c>
      <c r="H7" s="14" t="s">
        <v>10</v>
      </c>
      <c r="I7" s="14"/>
    </row>
    <row r="8" customFormat="false" ht="19.5" hidden="false" customHeight="true" outlineLevel="0" collapsed="false">
      <c r="A8" s="15" t="s">
        <v>11</v>
      </c>
      <c r="B8" s="17"/>
      <c r="F8" s="9"/>
      <c r="G8" s="13" t="s">
        <v>12</v>
      </c>
      <c r="H8" s="18" t="s">
        <v>13</v>
      </c>
      <c r="I8" s="18"/>
    </row>
    <row r="9" customFormat="false" ht="19.5" hidden="false" customHeight="true" outlineLevel="0" collapsed="false">
      <c r="A9" s="15" t="s">
        <v>14</v>
      </c>
      <c r="B9" s="17"/>
      <c r="F9" s="9"/>
      <c r="G9" s="13" t="s">
        <v>15</v>
      </c>
      <c r="H9" s="14" t="s">
        <v>16</v>
      </c>
      <c r="I9" s="14"/>
    </row>
    <row r="10" customFormat="false" ht="19.5" hidden="false" customHeight="true" outlineLevel="0" collapsed="false">
      <c r="A10" s="15" t="s">
        <v>17</v>
      </c>
      <c r="B10" s="17"/>
      <c r="D10" s="19"/>
      <c r="F10" s="9"/>
      <c r="G10" s="13" t="s">
        <v>18</v>
      </c>
      <c r="H10" s="14" t="s">
        <v>19</v>
      </c>
      <c r="I10" s="14"/>
    </row>
    <row r="11" customFormat="false" ht="19.5" hidden="false" customHeight="true" outlineLevel="0" collapsed="false">
      <c r="A11" s="15"/>
      <c r="B11" s="17"/>
      <c r="F11" s="9"/>
      <c r="G11" s="20" t="s">
        <v>20</v>
      </c>
      <c r="H11" s="21" t="s">
        <v>21</v>
      </c>
      <c r="I11" s="21"/>
    </row>
    <row r="12" customFormat="false" ht="13.5" hidden="false" customHeight="true" outlineLevel="0" collapsed="false">
      <c r="A12" s="22"/>
      <c r="B12" s="22"/>
    </row>
    <row r="13" customFormat="false" ht="22.5" hidden="false" customHeight="true" outlineLevel="0" collapsed="false">
      <c r="A13" s="23" t="s">
        <v>22</v>
      </c>
      <c r="B13" s="24" t="str">
        <f aca="false">numberstring(H27,1) &amp; " 원정"</f>
        <v>일천팔백일십오만 원정</v>
      </c>
      <c r="C13" s="24"/>
      <c r="D13" s="24"/>
      <c r="E13" s="24"/>
      <c r="F13" s="24"/>
      <c r="G13" s="25" t="n">
        <f aca="false">H27</f>
        <v>18150000</v>
      </c>
      <c r="H13" s="25"/>
      <c r="I13" s="26" t="s">
        <v>23</v>
      </c>
    </row>
    <row r="14" customFormat="false" ht="19.5" hidden="false" customHeight="true" outlineLevel="0" collapsed="false">
      <c r="A14" s="27" t="s">
        <v>24</v>
      </c>
      <c r="B14" s="28" t="s">
        <v>25</v>
      </c>
      <c r="C14" s="28" t="s">
        <v>26</v>
      </c>
      <c r="D14" s="28" t="s">
        <v>27</v>
      </c>
      <c r="E14" s="28" t="s">
        <v>28</v>
      </c>
      <c r="F14" s="28"/>
      <c r="G14" s="28" t="s">
        <v>29</v>
      </c>
      <c r="H14" s="28" t="s">
        <v>30</v>
      </c>
      <c r="I14" s="29" t="s">
        <v>31</v>
      </c>
    </row>
    <row r="15" customFormat="false" ht="24.75" hidden="false" customHeight="true" outlineLevel="0" collapsed="false">
      <c r="A15" s="30" t="n">
        <v>1</v>
      </c>
      <c r="B15" s="31" t="s">
        <v>32</v>
      </c>
      <c r="C15" s="32" t="n">
        <v>1</v>
      </c>
      <c r="D15" s="33" t="n">
        <v>7000000</v>
      </c>
      <c r="E15" s="34" t="n">
        <f aca="false">C15*D15</f>
        <v>7000000</v>
      </c>
      <c r="F15" s="34"/>
      <c r="G15" s="35" t="n">
        <f aca="false">E15*10%</f>
        <v>700000</v>
      </c>
      <c r="H15" s="36" t="n">
        <f aca="false">E15+G15</f>
        <v>7700000</v>
      </c>
      <c r="I15" s="37"/>
    </row>
    <row r="16" customFormat="false" ht="89.25" hidden="false" customHeight="true" outlineLevel="0" collapsed="false">
      <c r="A16" s="38"/>
      <c r="B16" s="39" t="s">
        <v>33</v>
      </c>
      <c r="C16" s="39"/>
      <c r="D16" s="39"/>
      <c r="E16" s="39"/>
      <c r="F16" s="39"/>
      <c r="G16" s="39"/>
      <c r="H16" s="40"/>
      <c r="I16" s="41"/>
    </row>
    <row r="17" customFormat="false" ht="24.75" hidden="false" customHeight="true" outlineLevel="0" collapsed="false">
      <c r="A17" s="42" t="n">
        <v>2</v>
      </c>
      <c r="B17" s="43" t="s">
        <v>34</v>
      </c>
      <c r="C17" s="44" t="n">
        <v>1</v>
      </c>
      <c r="D17" s="45" t="n">
        <v>7000000</v>
      </c>
      <c r="E17" s="46" t="n">
        <f aca="false">C17*D17</f>
        <v>7000000</v>
      </c>
      <c r="F17" s="46"/>
      <c r="G17" s="47" t="n">
        <f aca="false">E17*10%</f>
        <v>700000</v>
      </c>
      <c r="H17" s="47" t="n">
        <f aca="false">E17+G17</f>
        <v>7700000</v>
      </c>
      <c r="I17" s="48"/>
    </row>
    <row r="18" customFormat="false" ht="111.75" hidden="false" customHeight="true" outlineLevel="0" collapsed="false">
      <c r="A18" s="38"/>
      <c r="B18" s="49" t="s">
        <v>35</v>
      </c>
      <c r="C18" s="49"/>
      <c r="D18" s="49"/>
      <c r="E18" s="49"/>
      <c r="F18" s="49"/>
      <c r="G18" s="49"/>
      <c r="H18" s="50"/>
      <c r="I18" s="41"/>
    </row>
    <row r="19" customFormat="false" ht="24.75" hidden="false" customHeight="true" outlineLevel="0" collapsed="false">
      <c r="A19" s="38" t="n">
        <v>3</v>
      </c>
      <c r="B19" s="51" t="s">
        <v>36</v>
      </c>
      <c r="C19" s="52" t="n">
        <v>2</v>
      </c>
      <c r="D19" s="45" t="n">
        <v>750000</v>
      </c>
      <c r="E19" s="46" t="n">
        <f aca="false">C19*D19</f>
        <v>1500000</v>
      </c>
      <c r="F19" s="46"/>
      <c r="G19" s="47" t="n">
        <f aca="false">E19*10%</f>
        <v>150000</v>
      </c>
      <c r="H19" s="53" t="n">
        <f aca="false">E19+G19</f>
        <v>1650000</v>
      </c>
      <c r="I19" s="41"/>
    </row>
    <row r="20" customFormat="false" ht="49.5" hidden="false" customHeight="true" outlineLevel="0" collapsed="false">
      <c r="A20" s="38"/>
      <c r="B20" s="54" t="s">
        <v>37</v>
      </c>
      <c r="C20" s="54"/>
      <c r="D20" s="54"/>
      <c r="E20" s="54"/>
      <c r="F20" s="54"/>
      <c r="G20" s="54"/>
      <c r="H20" s="53"/>
      <c r="I20" s="41"/>
    </row>
    <row r="21" customFormat="false" ht="24.75" hidden="false" customHeight="true" outlineLevel="0" collapsed="false">
      <c r="A21" s="42" t="n">
        <v>4</v>
      </c>
      <c r="B21" s="43" t="s">
        <v>38</v>
      </c>
      <c r="C21" s="52" t="n">
        <v>4</v>
      </c>
      <c r="D21" s="45" t="n">
        <v>250000</v>
      </c>
      <c r="E21" s="46" t="n">
        <f aca="false">C21*D21</f>
        <v>1000000</v>
      </c>
      <c r="F21" s="46"/>
      <c r="G21" s="47" t="n">
        <f aca="false">E21*10%</f>
        <v>100000</v>
      </c>
      <c r="H21" s="53" t="n">
        <f aca="false">E21+G21</f>
        <v>1100000</v>
      </c>
      <c r="I21" s="41"/>
    </row>
    <row r="22" customFormat="false" ht="15" hidden="false" customHeight="true" outlineLevel="0" collapsed="false">
      <c r="A22" s="38"/>
      <c r="B22" s="55" t="s">
        <v>39</v>
      </c>
      <c r="C22" s="55"/>
      <c r="D22" s="55"/>
      <c r="E22" s="55"/>
      <c r="F22" s="55"/>
      <c r="G22" s="55"/>
      <c r="H22" s="53"/>
      <c r="I22" s="41"/>
    </row>
    <row r="23" customFormat="false" ht="24.75" hidden="false" customHeight="true" outlineLevel="0" collapsed="false">
      <c r="A23" s="38"/>
      <c r="B23" s="56"/>
      <c r="C23" s="44"/>
      <c r="D23" s="57"/>
      <c r="E23" s="46"/>
      <c r="F23" s="46"/>
      <c r="G23" s="47"/>
      <c r="H23" s="47"/>
      <c r="I23" s="41"/>
    </row>
    <row r="24" customFormat="false" ht="24.75" hidden="false" customHeight="true" outlineLevel="0" collapsed="false">
      <c r="A24" s="38"/>
      <c r="B24" s="54"/>
      <c r="C24" s="54"/>
      <c r="D24" s="54"/>
      <c r="E24" s="54"/>
      <c r="F24" s="54"/>
      <c r="G24" s="54"/>
      <c r="H24" s="53"/>
      <c r="I24" s="41"/>
    </row>
    <row r="25" customFormat="false" ht="18.75" hidden="false" customHeight="true" outlineLevel="0" collapsed="false">
      <c r="A25" s="58"/>
      <c r="B25" s="59"/>
      <c r="C25" s="59"/>
      <c r="D25" s="59"/>
      <c r="E25" s="59"/>
      <c r="F25" s="60" t="s">
        <v>40</v>
      </c>
      <c r="G25" s="60"/>
      <c r="H25" s="61" t="n">
        <f aca="false">SUM(E15:F24)</f>
        <v>16500000</v>
      </c>
      <c r="I25" s="61"/>
    </row>
    <row r="26" customFormat="false" ht="18.75" hidden="false" customHeight="true" outlineLevel="0" collapsed="false">
      <c r="A26" s="62" t="s">
        <v>41</v>
      </c>
      <c r="B26" s="6"/>
      <c r="C26" s="19"/>
      <c r="D26" s="19"/>
      <c r="E26" s="19"/>
      <c r="F26" s="63" t="s">
        <v>42</v>
      </c>
      <c r="G26" s="63"/>
      <c r="H26" s="64" t="n">
        <f aca="false">SUM(G15:G24)</f>
        <v>1650000</v>
      </c>
      <c r="I26" s="64"/>
    </row>
    <row r="27" customFormat="false" ht="18.75" hidden="false" customHeight="true" outlineLevel="0" collapsed="false">
      <c r="A27" s="65"/>
      <c r="B27" s="22"/>
      <c r="C27" s="66"/>
      <c r="D27" s="66"/>
      <c r="E27" s="66"/>
      <c r="F27" s="67" t="s">
        <v>43</v>
      </c>
      <c r="G27" s="67"/>
      <c r="H27" s="68" t="n">
        <f aca="false">SUM(H25:I26)</f>
        <v>18150000</v>
      </c>
      <c r="I27" s="68"/>
    </row>
    <row r="28" customFormat="false" ht="23.25" hidden="false" customHeight="true" outlineLevel="0" collapsed="false">
      <c r="A28" s="69" t="s">
        <v>44</v>
      </c>
      <c r="B28" s="69"/>
      <c r="C28" s="69"/>
      <c r="D28" s="69"/>
      <c r="E28" s="69"/>
      <c r="F28" s="69"/>
      <c r="G28" s="69"/>
      <c r="H28" s="69"/>
      <c r="I28" s="69"/>
    </row>
    <row r="29" customFormat="false" ht="23.25" hidden="false" customHeight="true" outlineLevel="0" collapsed="false">
      <c r="A29" s="70"/>
      <c r="B29" s="71"/>
      <c r="C29" s="19"/>
      <c r="D29" s="19"/>
      <c r="E29" s="19"/>
      <c r="F29" s="19"/>
      <c r="G29" s="19"/>
      <c r="H29" s="19"/>
      <c r="I29" s="72"/>
    </row>
    <row r="30" customFormat="false" ht="23.25" hidden="false" customHeight="true" outlineLevel="0" collapsed="false">
      <c r="A30" s="70"/>
      <c r="B30" s="71"/>
      <c r="C30" s="19"/>
      <c r="D30" s="19"/>
      <c r="E30" s="19"/>
      <c r="F30" s="19"/>
      <c r="G30" s="19"/>
      <c r="H30" s="19"/>
      <c r="I30" s="72"/>
    </row>
    <row r="31" customFormat="false" ht="23.25" hidden="false" customHeight="true" outlineLevel="0" collapsed="false">
      <c r="A31" s="65"/>
      <c r="B31" s="22"/>
      <c r="C31" s="66"/>
      <c r="D31" s="66"/>
      <c r="E31" s="66"/>
      <c r="F31" s="66"/>
      <c r="G31" s="66"/>
      <c r="H31" s="66"/>
      <c r="I31" s="73"/>
    </row>
    <row r="32" customFormat="false" ht="13.5" hidden="false" customHeight="true" outlineLevel="0" collapsed="false">
      <c r="A32" s="74"/>
    </row>
    <row r="33" customFormat="false" ht="13.5" hidden="false" customHeight="true" outlineLevel="0" collapsed="false">
      <c r="A33" s="74"/>
      <c r="E33" s="75"/>
      <c r="F33" s="75"/>
      <c r="G33" s="75"/>
      <c r="H33" s="75"/>
      <c r="I33" s="75"/>
    </row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</sheetData>
  <mergeCells count="32">
    <mergeCell ref="A3:I3"/>
    <mergeCell ref="A5:B5"/>
    <mergeCell ref="F5:F11"/>
    <mergeCell ref="H5:I5"/>
    <mergeCell ref="H6:I6"/>
    <mergeCell ref="H7:I7"/>
    <mergeCell ref="H8:I8"/>
    <mergeCell ref="H9:I9"/>
    <mergeCell ref="H10:I10"/>
    <mergeCell ref="H11:I11"/>
    <mergeCell ref="A12:B12"/>
    <mergeCell ref="B13:F13"/>
    <mergeCell ref="G13:H13"/>
    <mergeCell ref="E14:F14"/>
    <mergeCell ref="E15:F15"/>
    <mergeCell ref="B16:G16"/>
    <mergeCell ref="E17:F17"/>
    <mergeCell ref="B18:G18"/>
    <mergeCell ref="E19:F19"/>
    <mergeCell ref="B20:G20"/>
    <mergeCell ref="E21:F21"/>
    <mergeCell ref="B22:G22"/>
    <mergeCell ref="E23:F23"/>
    <mergeCell ref="B24:G24"/>
    <mergeCell ref="F25:G25"/>
    <mergeCell ref="H25:I25"/>
    <mergeCell ref="F26:G26"/>
    <mergeCell ref="H26:I26"/>
    <mergeCell ref="F27:G27"/>
    <mergeCell ref="H27:I27"/>
    <mergeCell ref="A28:I28"/>
    <mergeCell ref="E33:I33"/>
  </mergeCells>
  <hyperlinks>
    <hyperlink ref="H11" r:id="rId1" display="mail@farmos.co.kr"/>
  </hyperlinks>
  <printOptions headings="false" gridLines="true" gridLinesSet="true" horizontalCentered="true" verticalCentered="true"/>
  <pageMargins left="0.236111111111111" right="0.236111111111111" top="0.157638888888889" bottom="0.1576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2004-03-23T02:32:09Z</dcterms:created>
  <dc:creator>문서서식 포탈 비즈폼 www.bizforms.co.kr</dc:creator>
  <dc:description/>
  <dc:language>en-US</dc:language>
  <cp:lastModifiedBy/>
  <cp:lastPrinted>2023-02-18T06:01:57Z</cp:lastPrinted>
  <dcterms:modified xsi:type="dcterms:W3CDTF">2023-02-18T15:29:20Z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