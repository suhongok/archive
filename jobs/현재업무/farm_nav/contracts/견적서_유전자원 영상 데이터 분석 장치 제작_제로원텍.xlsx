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a/Documents/archive/jobs/현재업무/farm_nav/"/>
    </mc:Choice>
  </mc:AlternateContent>
  <xr:revisionPtr revIDLastSave="0" documentId="13_ncr:1_{5CE44980-0668-6849-8374-D6502A178344}" xr6:coauthVersionLast="47" xr6:coauthVersionMax="47" xr10:uidLastSave="{00000000-0000-0000-0000-000000000000}"/>
  <bookViews>
    <workbookView xWindow="0" yWindow="600" windowWidth="25820" windowHeight="15120" xr2:uid="{00000000-000D-0000-FFFF-FFFF00000000}"/>
  </bookViews>
  <sheets>
    <sheet name="견적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21" i="1" l="1"/>
  <c r="Q20" i="1"/>
  <c r="Q23" i="1"/>
  <c r="Q22" i="1"/>
  <c r="Q19" i="1"/>
  <c r="Q18" i="1"/>
  <c r="Q17" i="1"/>
  <c r="Q16" i="1"/>
  <c r="Q15" i="1"/>
  <c r="Q14" i="1"/>
  <c r="Q28" i="1" l="1"/>
  <c r="O11" i="1" s="1"/>
  <c r="B11" i="1" s="1"/>
</calcChain>
</file>

<file path=xl/sharedStrings.xml><?xml version="1.0" encoding="utf-8"?>
<sst xmlns="http://schemas.openxmlformats.org/spreadsheetml/2006/main" count="61" uniqueCount="61">
  <si>
    <t xml:space="preserve">합계:                               </t>
  </si>
  <si>
    <t>010-2519-5254</t>
  </si>
  <si>
    <t>0504-246-5254</t>
  </si>
  <si>
    <t xml:space="preserve">   아래와 같이 견적합니다.</t>
  </si>
  <si>
    <t>품   명</t>
  </si>
  <si>
    <t>見  積  書</t>
  </si>
  <si>
    <t>금    액</t>
  </si>
  <si>
    <t>제조,도소매</t>
  </si>
  <si>
    <t>수 신 팩 스</t>
  </si>
  <si>
    <t>공 급 자</t>
  </si>
  <si>
    <t>견적자:</t>
  </si>
  <si>
    <t>결 재 조 건</t>
  </si>
  <si>
    <t>전자세금메일</t>
  </si>
  <si>
    <t>부가세포함</t>
  </si>
  <si>
    <t>비  고</t>
  </si>
  <si>
    <t>견적일자:</t>
  </si>
  <si>
    <t>구분</t>
  </si>
  <si>
    <t>종목</t>
  </si>
  <si>
    <t>번호</t>
  </si>
  <si>
    <t>안 내</t>
  </si>
  <si>
    <t>상호</t>
  </si>
  <si>
    <t>대표</t>
  </si>
  <si>
    <t>합계</t>
  </si>
  <si>
    <t>규격</t>
  </si>
  <si>
    <t>원</t>
  </si>
  <si>
    <t>등록</t>
  </si>
  <si>
    <t>업태</t>
  </si>
  <si>
    <t>주소</t>
  </si>
  <si>
    <t>cherrychance@naver.com</t>
  </si>
  <si>
    <t>전화번호</t>
    <phoneticPr fontId="12" type="noConversion"/>
  </si>
  <si>
    <t>계좌번호</t>
    <phoneticPr fontId="12" type="noConversion"/>
  </si>
  <si>
    <t>현금이체, 카드결재</t>
    <phoneticPr fontId="12" type="noConversion"/>
  </si>
  <si>
    <t>수량</t>
    <phoneticPr fontId="12" type="noConversion"/>
  </si>
  <si>
    <t>단가</t>
    <phoneticPr fontId="12" type="noConversion"/>
  </si>
  <si>
    <t>기업은행 273-105992-01-015</t>
    <phoneticPr fontId="12" type="noConversion"/>
  </si>
  <si>
    <t>국립농업과학원 귀하</t>
    <phoneticPr fontId="12" type="noConversion"/>
  </si>
  <si>
    <t>옥성민</t>
    <phoneticPr fontId="12" type="noConversion"/>
  </si>
  <si>
    <t>010-9660-4164</t>
    <phoneticPr fontId="12" type="noConversion"/>
  </si>
  <si>
    <t>706-08-02716</t>
    <phoneticPr fontId="12" type="noConversion"/>
  </si>
  <si>
    <t>올턴가연테크</t>
    <phoneticPr fontId="12" type="noConversion"/>
  </si>
  <si>
    <t>전북 전주시 덕진구 원반월길42</t>
    <phoneticPr fontId="12" type="noConversion"/>
  </si>
  <si>
    <t>제조업</t>
    <phoneticPr fontId="12" type="noConversion"/>
  </si>
  <si>
    <t>멘인 프레임 이동체</t>
    <phoneticPr fontId="12" type="noConversion"/>
  </si>
  <si>
    <t>배터리</t>
    <phoneticPr fontId="12" type="noConversion"/>
  </si>
  <si>
    <t>24v 300Ah</t>
    <phoneticPr fontId="12" type="noConversion"/>
  </si>
  <si>
    <t>프레임 제작</t>
    <phoneticPr fontId="12" type="noConversion"/>
  </si>
  <si>
    <t>가로 1.5m * 세로 1.2m * 높이 1.2m</t>
    <phoneticPr fontId="12" type="noConversion"/>
  </si>
  <si>
    <t>기타 부품 가공비</t>
    <phoneticPr fontId="12" type="noConversion"/>
  </si>
  <si>
    <t>인휠 기반 허브모터</t>
    <phoneticPr fontId="12" type="noConversion"/>
  </si>
  <si>
    <t>이동체 제어 컨트롤박스</t>
    <phoneticPr fontId="12" type="noConversion"/>
  </si>
  <si>
    <t>BLDC모터 드라이버</t>
    <phoneticPr fontId="12" type="noConversion"/>
  </si>
  <si>
    <t xml:space="preserve">jetson nano </t>
    <phoneticPr fontId="12" type="noConversion"/>
  </si>
  <si>
    <t>orin nano developer kit</t>
    <phoneticPr fontId="12" type="noConversion"/>
  </si>
  <si>
    <t>컨트롤러 배선 및 기타</t>
    <phoneticPr fontId="12" type="noConversion"/>
  </si>
  <si>
    <t>제어 소프트웨어</t>
    <phoneticPr fontId="12" type="noConversion"/>
  </si>
  <si>
    <t>블루투스 통신제어, 시리얼 통신제어</t>
    <phoneticPr fontId="12" type="noConversion"/>
  </si>
  <si>
    <t>임해진</t>
    <phoneticPr fontId="12" type="noConversion"/>
  </si>
  <si>
    <t>인건비</t>
    <phoneticPr fontId="12" type="noConversion"/>
  </si>
  <si>
    <t>제작비</t>
    <phoneticPr fontId="12" type="noConversion"/>
  </si>
  <si>
    <t>센서</t>
    <phoneticPr fontId="12" type="noConversion"/>
  </si>
  <si>
    <t>depth센서, 라이다 센서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</si>
</sst>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DBNum4][$-412]General"/>
    <numFmt numFmtId="177" formatCode="_-&quot;₩&quot;* #,##0_-;\-&quot;₩&quot;* #,##0_-;_-&quot;₩&quot;* &quot;-&quot;_-;_-@"/>
    <numFmt numFmtId="178" formatCode="0_);[Red]\(0\)"/>
    <numFmt numFmtId="179" formatCode="_-* #,##0_-;\-* #,##0_-;_-* &quot;-&quot;_-;_-@"/>
  </numFmts>
  <fonts count="22">
    <font>
      <sz val="11"/>
      <color rgb="FF000000"/>
      <name val="Calibri"/>
    </font>
    <font>
      <sz val="11"/>
      <color rgb="FF000000"/>
      <name val="Dotum"/>
      <family val="3"/>
      <charset val="129"/>
    </font>
    <font>
      <sz val="14"/>
      <color rgb="FF000000"/>
      <name val="Dotum"/>
      <family val="3"/>
      <charset val="129"/>
    </font>
    <font>
      <b/>
      <sz val="12"/>
      <color rgb="FF000000"/>
      <name val="Dotum"/>
      <family val="3"/>
      <charset val="129"/>
    </font>
    <font>
      <sz val="12"/>
      <color rgb="FF000000"/>
      <name val="Dotum"/>
      <family val="3"/>
      <charset val="129"/>
    </font>
    <font>
      <b/>
      <sz val="16"/>
      <color rgb="FF000000"/>
      <name val="Dotum"/>
      <family val="3"/>
      <charset val="129"/>
    </font>
    <font>
      <b/>
      <sz val="11"/>
      <color rgb="FF000000"/>
      <name val="Dotum"/>
      <family val="3"/>
      <charset val="129"/>
    </font>
    <font>
      <sz val="9"/>
      <color rgb="FF000000"/>
      <name val="Dotum"/>
      <family val="3"/>
      <charset val="129"/>
    </font>
    <font>
      <b/>
      <u/>
      <sz val="28"/>
      <color rgb="FF000000"/>
      <name val="Dotum"/>
      <family val="3"/>
      <charset val="129"/>
    </font>
    <font>
      <b/>
      <u/>
      <sz val="16"/>
      <color rgb="FF000000"/>
      <name val="Dotum"/>
      <family val="3"/>
      <charset val="129"/>
    </font>
    <font>
      <b/>
      <sz val="10"/>
      <color rgb="FF000000"/>
      <name val="Dotum"/>
      <family val="3"/>
      <charset val="129"/>
    </font>
    <font>
      <b/>
      <sz val="16"/>
      <color rgb="FF0070C0"/>
      <name val="Dotum"/>
      <family val="3"/>
      <charset val="129"/>
    </font>
    <font>
      <sz val="8"/>
      <name val="돋움"/>
      <family val="3"/>
      <charset val="129"/>
    </font>
    <font>
      <b/>
      <sz val="14"/>
      <color rgb="FFFF0000"/>
      <name val="Dotum"/>
      <family val="3"/>
      <charset val="129"/>
    </font>
    <font>
      <sz val="14"/>
      <color rgb="FF000000"/>
      <name val="Calibri"/>
      <family val="2"/>
    </font>
    <font>
      <b/>
      <sz val="14"/>
      <color rgb="FF000000"/>
      <name val="Dotum"/>
      <family val="3"/>
      <charset val="129"/>
    </font>
    <font>
      <u/>
      <sz val="14"/>
      <color rgb="FF0000FF"/>
      <name val="Dotum"/>
      <family val="3"/>
      <charset val="129"/>
    </font>
    <font>
      <sz val="12"/>
      <color theme="1"/>
      <name val="Dotum"/>
      <family val="3"/>
      <charset val="129"/>
    </font>
    <font>
      <sz val="16"/>
      <color rgb="FF000000"/>
      <name val="Calibri"/>
      <family val="2"/>
    </font>
    <font>
      <b/>
      <sz val="12"/>
      <color rgb="FF000000"/>
      <name val="Calibri"/>
      <family val="2"/>
      <scheme val="major"/>
    </font>
    <font>
      <u/>
      <sz val="11"/>
      <color theme="10"/>
      <name val="Calibri"/>
      <family val="2"/>
    </font>
    <font>
      <b/>
      <sz val="12"/>
      <color rgb="FF000000"/>
      <name val="Malgun Gothic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75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 style="double">
        <color rgb="FF000000"/>
      </right>
      <top style="dotted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 style="hair">
        <color rgb="FF000000"/>
      </right>
      <top/>
      <bottom/>
      <diagonal/>
    </border>
    <border>
      <left/>
      <right style="double">
        <color rgb="FF000000"/>
      </right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double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uble">
        <color rgb="FF000000"/>
      </right>
      <top/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double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uble">
        <color rgb="FF000000"/>
      </bottom>
      <diagonal/>
    </border>
    <border>
      <left/>
      <right/>
      <top style="dotted">
        <color rgb="FF000000"/>
      </top>
      <bottom style="double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tted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double">
        <color rgb="FF000000"/>
      </right>
      <top style="hair">
        <color indexed="64"/>
      </top>
      <bottom/>
      <diagonal/>
    </border>
    <border>
      <left style="hair">
        <color indexed="64"/>
      </left>
      <right style="double">
        <color rgb="FF000000"/>
      </right>
      <top style="thin">
        <color rgb="FF000000"/>
      </top>
      <bottom style="hair">
        <color indexed="64"/>
      </bottom>
      <diagonal/>
    </border>
    <border>
      <left style="hair">
        <color indexed="64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indexed="64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indexed="64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indexed="64"/>
      </top>
      <bottom style="hair">
        <color indexed="64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indexed="64"/>
      </top>
      <bottom/>
      <diagonal/>
    </border>
    <border>
      <left style="hair">
        <color rgb="FF000000"/>
      </left>
      <right style="double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double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double">
        <color rgb="FF000000"/>
      </left>
      <right style="hair">
        <color rgb="FF000000"/>
      </right>
      <top style="hair">
        <color indexed="64"/>
      </top>
      <bottom/>
      <diagonal/>
    </border>
  </borders>
  <cellStyleXfs count="2"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138">
    <xf numFmtId="0" fontId="0" fillId="0" borderId="0" xfId="0">
      <alignment vertical="center"/>
    </xf>
    <xf numFmtId="0" fontId="1" fillId="0" borderId="0" xfId="0" applyFont="1" applyAlignme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176" fontId="5" fillId="2" borderId="6" xfId="0" applyNumberFormat="1" applyFont="1" applyFill="1" applyBorder="1">
      <alignment vertical="center"/>
    </xf>
    <xf numFmtId="0" fontId="1" fillId="0" borderId="7" xfId="0" applyFont="1" applyBorder="1" applyAlignment="1"/>
    <xf numFmtId="0" fontId="1" fillId="0" borderId="8" xfId="0" applyFont="1" applyBorder="1" applyAlignment="1"/>
    <xf numFmtId="0" fontId="1" fillId="0" borderId="9" xfId="0" applyFont="1" applyBorder="1" applyAlignment="1"/>
    <xf numFmtId="0" fontId="6" fillId="0" borderId="12" xfId="0" applyFont="1" applyBorder="1" applyAlignment="1">
      <alignment horizontal="center" vertical="top" shrinkToFit="1"/>
    </xf>
    <xf numFmtId="0" fontId="3" fillId="0" borderId="15" xfId="0" applyFont="1" applyBorder="1" applyAlignment="1">
      <alignment horizontal="center" vertical="center"/>
    </xf>
    <xf numFmtId="31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4" fillId="0" borderId="4" xfId="0" applyFont="1" applyBorder="1" applyAlignment="1">
      <alignment horizontal="left" vertical="center"/>
    </xf>
    <xf numFmtId="0" fontId="13" fillId="0" borderId="16" xfId="0" applyFont="1" applyBorder="1" applyAlignment="1">
      <alignment horizontal="center" vertical="center"/>
    </xf>
    <xf numFmtId="0" fontId="2" fillId="0" borderId="17" xfId="0" applyFont="1" applyBorder="1">
      <alignment vertical="center"/>
    </xf>
    <xf numFmtId="0" fontId="15" fillId="0" borderId="17" xfId="0" applyFont="1" applyBorder="1">
      <alignment vertical="center"/>
    </xf>
    <xf numFmtId="0" fontId="2" fillId="0" borderId="18" xfId="0" applyFont="1" applyBorder="1">
      <alignment vertical="center"/>
    </xf>
    <xf numFmtId="0" fontId="15" fillId="0" borderId="10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 shrinkToFit="1"/>
    </xf>
    <xf numFmtId="0" fontId="6" fillId="0" borderId="60" xfId="0" applyFont="1" applyBorder="1" applyAlignment="1">
      <alignment horizontal="center" vertical="top" shrinkToFit="1"/>
    </xf>
    <xf numFmtId="0" fontId="15" fillId="0" borderId="61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top" shrinkToFit="1"/>
    </xf>
    <xf numFmtId="0" fontId="6" fillId="0" borderId="65" xfId="0" applyFont="1" applyBorder="1" applyAlignment="1">
      <alignment horizontal="center" vertical="top" shrinkToFit="1"/>
    </xf>
    <xf numFmtId="0" fontId="3" fillId="0" borderId="66" xfId="0" applyFont="1" applyBorder="1" applyAlignment="1">
      <alignment horizontal="center"/>
    </xf>
    <xf numFmtId="0" fontId="7" fillId="0" borderId="68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0" fillId="0" borderId="0" xfId="1" applyAlignment="1"/>
    <xf numFmtId="0" fontId="5" fillId="0" borderId="67" xfId="0" applyFont="1" applyBorder="1" applyAlignment="1">
      <alignment horizontal="center" vertical="center" textRotation="255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11" fillId="0" borderId="69" xfId="0" applyFont="1" applyBorder="1" applyAlignment="1">
      <alignment horizontal="center" vertical="center" shrinkToFit="1"/>
    </xf>
    <xf numFmtId="0" fontId="0" fillId="0" borderId="70" xfId="0" applyBorder="1">
      <alignment vertical="center"/>
    </xf>
    <xf numFmtId="0" fontId="0" fillId="0" borderId="71" xfId="0" applyBorder="1">
      <alignment vertical="center"/>
    </xf>
    <xf numFmtId="0" fontId="13" fillId="0" borderId="43" xfId="0" applyFont="1" applyBorder="1" applyAlignment="1">
      <alignment horizontal="center" vertical="center"/>
    </xf>
    <xf numFmtId="0" fontId="14" fillId="0" borderId="6" xfId="0" applyFont="1" applyBorder="1">
      <alignment vertical="center"/>
    </xf>
    <xf numFmtId="0" fontId="13" fillId="0" borderId="44" xfId="0" applyFont="1" applyBorder="1" applyAlignment="1">
      <alignment horizontal="center" vertical="center"/>
    </xf>
    <xf numFmtId="0" fontId="14" fillId="0" borderId="35" xfId="0" applyFont="1" applyBorder="1">
      <alignment vertical="center"/>
    </xf>
    <xf numFmtId="0" fontId="15" fillId="0" borderId="45" xfId="0" applyFont="1" applyBorder="1" applyAlignment="1">
      <alignment horizontal="center" vertical="center"/>
    </xf>
    <xf numFmtId="0" fontId="14" fillId="0" borderId="46" xfId="0" applyFont="1" applyBorder="1">
      <alignment vertical="center"/>
    </xf>
    <xf numFmtId="0" fontId="14" fillId="0" borderId="47" xfId="0" applyFont="1" applyBorder="1">
      <alignment vertical="center"/>
    </xf>
    <xf numFmtId="0" fontId="2" fillId="0" borderId="48" xfId="0" applyFont="1" applyBorder="1" applyAlignment="1">
      <alignment horizontal="left" vertical="center"/>
    </xf>
    <xf numFmtId="0" fontId="15" fillId="0" borderId="48" xfId="0" applyFont="1" applyBorder="1" applyAlignment="1">
      <alignment horizontal="center" vertical="center"/>
    </xf>
    <xf numFmtId="0" fontId="2" fillId="0" borderId="48" xfId="0" applyFont="1" applyBorder="1">
      <alignment vertical="center"/>
    </xf>
    <xf numFmtId="0" fontId="14" fillId="0" borderId="49" xfId="0" applyFont="1" applyBorder="1">
      <alignment vertical="center"/>
    </xf>
    <xf numFmtId="0" fontId="15" fillId="0" borderId="50" xfId="0" applyFont="1" applyBorder="1" applyAlignment="1">
      <alignment horizontal="center" vertical="center"/>
    </xf>
    <xf numFmtId="0" fontId="14" fillId="0" borderId="17" xfId="0" applyFont="1" applyBorder="1">
      <alignment vertical="center"/>
    </xf>
    <xf numFmtId="0" fontId="14" fillId="0" borderId="51" xfId="0" applyFont="1" applyBorder="1">
      <alignment vertical="center"/>
    </xf>
    <xf numFmtId="0" fontId="2" fillId="0" borderId="52" xfId="0" applyFont="1" applyBorder="1" applyAlignment="1">
      <alignment horizontal="left" vertical="center"/>
    </xf>
    <xf numFmtId="0" fontId="15" fillId="0" borderId="52" xfId="0" applyFont="1" applyBorder="1" applyAlignment="1">
      <alignment horizontal="center" vertical="center"/>
    </xf>
    <xf numFmtId="0" fontId="16" fillId="0" borderId="52" xfId="0" applyFont="1" applyBorder="1" applyAlignment="1">
      <alignment vertical="center" shrinkToFit="1"/>
    </xf>
    <xf numFmtId="0" fontId="14" fillId="0" borderId="53" xfId="0" applyFont="1" applyBorder="1">
      <alignment vertical="center"/>
    </xf>
    <xf numFmtId="0" fontId="2" fillId="0" borderId="52" xfId="0" applyFont="1" applyBorder="1">
      <alignment vertical="center"/>
    </xf>
    <xf numFmtId="0" fontId="4" fillId="0" borderId="38" xfId="0" applyFont="1" applyBorder="1" applyAlignment="1">
      <alignment horizontal="center" vertical="center" wrapText="1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17" fillId="0" borderId="38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178" fontId="4" fillId="0" borderId="38" xfId="0" applyNumberFormat="1" applyFont="1" applyBorder="1" applyAlignment="1">
      <alignment horizontal="center" vertical="center" shrinkToFit="1"/>
    </xf>
    <xf numFmtId="179" fontId="4" fillId="0" borderId="38" xfId="0" applyNumberFormat="1" applyFont="1" applyBorder="1" applyAlignment="1">
      <alignment horizontal="center" vertical="center" shrinkToFit="1"/>
    </xf>
    <xf numFmtId="0" fontId="15" fillId="0" borderId="54" xfId="0" applyFont="1" applyBorder="1" applyAlignment="1">
      <alignment horizontal="center" vertical="center"/>
    </xf>
    <xf numFmtId="0" fontId="14" fillId="0" borderId="55" xfId="0" applyFont="1" applyBorder="1">
      <alignment vertical="center"/>
    </xf>
    <xf numFmtId="0" fontId="14" fillId="0" borderId="56" xfId="0" applyFont="1" applyBorder="1">
      <alignment vertical="center"/>
    </xf>
    <xf numFmtId="0" fontId="2" fillId="0" borderId="57" xfId="0" applyFont="1" applyBorder="1" applyAlignment="1">
      <alignment horizontal="center" vertical="center"/>
    </xf>
    <xf numFmtId="0" fontId="14" fillId="0" borderId="58" xfId="0" applyFont="1" applyBorder="1">
      <alignment vertical="center"/>
    </xf>
    <xf numFmtId="0" fontId="3" fillId="0" borderId="37" xfId="0" applyFont="1" applyBorder="1" applyAlignment="1">
      <alignment horizontal="center" vertical="top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179" fontId="4" fillId="0" borderId="37" xfId="0" applyNumberFormat="1" applyFont="1" applyBorder="1" applyAlignment="1">
      <alignment horizontal="center" vertical="center" shrinkToFit="1"/>
    </xf>
    <xf numFmtId="0" fontId="3" fillId="0" borderId="37" xfId="0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center" vertical="center" shrinkToFit="1"/>
    </xf>
    <xf numFmtId="0" fontId="15" fillId="0" borderId="62" xfId="0" applyFont="1" applyBorder="1" applyAlignment="1">
      <alignment horizontal="center" vertical="center"/>
    </xf>
    <xf numFmtId="0" fontId="14" fillId="0" borderId="36" xfId="0" applyFont="1" applyBorder="1">
      <alignment vertical="center"/>
    </xf>
    <xf numFmtId="0" fontId="14" fillId="0" borderId="63" xfId="0" applyFont="1" applyBorder="1">
      <alignment vertical="center"/>
    </xf>
    <xf numFmtId="0" fontId="1" fillId="0" borderId="0" xfId="0" applyFont="1" applyAlignment="1">
      <alignment horizontal="right"/>
    </xf>
    <xf numFmtId="0" fontId="0" fillId="0" borderId="0" xfId="0">
      <alignment vertical="center"/>
    </xf>
    <xf numFmtId="0" fontId="8" fillId="0" borderId="19" xfId="0" applyFont="1" applyBorder="1" applyAlignment="1">
      <alignment horizont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2" fillId="0" borderId="7" xfId="0" applyFont="1" applyBorder="1">
      <alignment vertical="center"/>
    </xf>
    <xf numFmtId="0" fontId="0" fillId="0" borderId="8" xfId="0" applyBorder="1">
      <alignment vertical="center"/>
    </xf>
    <xf numFmtId="31" fontId="2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8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3" fillId="0" borderId="73" xfId="0" applyFont="1" applyBorder="1" applyAlignment="1">
      <alignment horizontal="left" vertical="center" wrapText="1"/>
    </xf>
    <xf numFmtId="0" fontId="0" fillId="0" borderId="72" xfId="0" applyBorder="1">
      <alignment vertical="center"/>
    </xf>
    <xf numFmtId="176" fontId="5" fillId="2" borderId="6" xfId="0" applyNumberFormat="1" applyFont="1" applyFill="1" applyBorder="1" applyAlignment="1">
      <alignment horizontal="right" vertical="center"/>
    </xf>
    <xf numFmtId="0" fontId="0" fillId="0" borderId="6" xfId="0" applyBorder="1">
      <alignment vertical="center"/>
    </xf>
    <xf numFmtId="177" fontId="5" fillId="2" borderId="70" xfId="0" applyNumberFormat="1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0" fillId="0" borderId="35" xfId="0" applyBorder="1">
      <alignment vertical="center"/>
    </xf>
    <xf numFmtId="0" fontId="9" fillId="0" borderId="10" xfId="0" applyFont="1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3" fillId="0" borderId="25" xfId="0" applyFont="1" applyBorder="1" applyAlignment="1">
      <alignment horizontal="center" vertical="center" textRotation="255"/>
    </xf>
    <xf numFmtId="0" fontId="0" fillId="0" borderId="26" xfId="0" applyBorder="1">
      <alignment vertical="center"/>
    </xf>
    <xf numFmtId="0" fontId="5" fillId="0" borderId="27" xfId="0" applyFont="1" applyBorder="1" applyAlignment="1">
      <alignment horizontal="center" vertical="center"/>
    </xf>
    <xf numFmtId="0" fontId="18" fillId="0" borderId="16" xfId="0" applyFont="1" applyBorder="1">
      <alignment vertical="center"/>
    </xf>
    <xf numFmtId="0" fontId="18" fillId="0" borderId="28" xfId="0" applyFont="1" applyBorder="1">
      <alignment vertical="center"/>
    </xf>
    <xf numFmtId="0" fontId="18" fillId="0" borderId="29" xfId="0" applyFont="1" applyBorder="1">
      <alignment vertical="center"/>
    </xf>
    <xf numFmtId="0" fontId="18" fillId="0" borderId="30" xfId="0" applyFont="1" applyBorder="1">
      <alignment vertical="center"/>
    </xf>
    <xf numFmtId="0" fontId="18" fillId="0" borderId="31" xfId="0" applyFont="1" applyBorder="1">
      <alignment vertical="center"/>
    </xf>
    <xf numFmtId="0" fontId="3" fillId="0" borderId="23" xfId="0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3" fillId="0" borderId="32" xfId="0" applyFont="1" applyBorder="1" applyAlignment="1">
      <alignment horizontal="center" vertical="center"/>
    </xf>
    <xf numFmtId="0" fontId="0" fillId="0" borderId="32" xfId="0" applyBorder="1">
      <alignment vertical="center"/>
    </xf>
    <xf numFmtId="0" fontId="3" fillId="0" borderId="23" xfId="0" applyFont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0" fillId="0" borderId="33" xfId="0" applyBorder="1">
      <alignment vertical="center"/>
    </xf>
    <xf numFmtId="0" fontId="4" fillId="0" borderId="34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10" fillId="0" borderId="0" xfId="0" applyFont="1" applyAlignment="1">
      <alignment horizontal="left" vertical="center" wrapText="1"/>
    </xf>
    <xf numFmtId="0" fontId="4" fillId="0" borderId="29" xfId="0" applyFont="1" applyBorder="1" applyAlignment="1">
      <alignment horizontal="center"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4" fillId="0" borderId="0" xfId="0" applyFont="1" applyAlignment="1">
      <alignment horizontal="center" vertical="center"/>
    </xf>
    <xf numFmtId="0" fontId="0" fillId="0" borderId="12" xfId="0" applyBorder="1">
      <alignment vertical="center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178" fontId="4" fillId="0" borderId="40" xfId="0" applyNumberFormat="1" applyFont="1" applyBorder="1" applyAlignment="1">
      <alignment horizontal="center" vertical="center" shrinkToFit="1"/>
    </xf>
    <xf numFmtId="179" fontId="4" fillId="0" borderId="40" xfId="0" applyNumberFormat="1" applyFont="1" applyBorder="1" applyAlignment="1">
      <alignment horizontal="center" vertical="center" shrinkToFit="1"/>
    </xf>
    <xf numFmtId="179" fontId="4" fillId="0" borderId="39" xfId="0" applyNumberFormat="1" applyFont="1" applyBorder="1" applyAlignment="1">
      <alignment horizontal="center" vertical="center" shrinkToFit="1"/>
    </xf>
    <xf numFmtId="0" fontId="19" fillId="0" borderId="11" xfId="0" applyFont="1" applyBorder="1" applyAlignment="1">
      <alignment horizontal="center" vertical="center" textRotation="255" wrapText="1"/>
    </xf>
    <xf numFmtId="0" fontId="19" fillId="0" borderId="15" xfId="0" applyFont="1" applyBorder="1" applyAlignment="1">
      <alignment horizontal="center" vertical="center" textRotation="255" wrapText="1"/>
    </xf>
    <xf numFmtId="0" fontId="3" fillId="0" borderId="66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1" fillId="0" borderId="74" xfId="0" applyFont="1" applyBorder="1" applyAlignment="1">
      <alignment horizontal="center" vertical="center" textRotation="255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herrychance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A993"/>
  <sheetViews>
    <sheetView tabSelected="1" topLeftCell="A13" zoomScale="85" zoomScaleNormal="85" zoomScaleSheetLayoutView="100" workbookViewId="0">
      <selection activeCell="O22" sqref="O22:P22"/>
    </sheetView>
  </sheetViews>
  <sheetFormatPr baseColWidth="10" defaultColWidth="14.5" defaultRowHeight="15" customHeight="1"/>
  <cols>
    <col min="1" max="2" width="6.5" customWidth="1"/>
    <col min="3" max="3" width="7.5" customWidth="1"/>
    <col min="4" max="4" width="3.5" customWidth="1"/>
    <col min="5" max="5" width="4.6640625" hidden="1" customWidth="1"/>
    <col min="6" max="6" width="2.1640625" customWidth="1"/>
    <col min="7" max="7" width="2" customWidth="1"/>
    <col min="8" max="8" width="2.1640625" hidden="1" customWidth="1"/>
    <col min="9" max="9" width="4.83203125" hidden="1" customWidth="1"/>
    <col min="10" max="11" width="4.83203125" customWidth="1"/>
    <col min="12" max="12" width="23.33203125" customWidth="1"/>
    <col min="13" max="13" width="5.1640625" customWidth="1"/>
    <col min="14" max="14" width="3.33203125" customWidth="1"/>
    <col min="15" max="15" width="6.6640625" customWidth="1"/>
    <col min="16" max="16" width="10" customWidth="1"/>
    <col min="17" max="17" width="2.1640625" customWidth="1"/>
    <col min="18" max="18" width="10.83203125" customWidth="1"/>
    <col min="19" max="19" width="1.33203125" customWidth="1"/>
    <col min="20" max="20" width="6.5" customWidth="1"/>
    <col min="21" max="21" width="17.83203125" customWidth="1"/>
    <col min="22" max="22" width="8.6640625" customWidth="1"/>
    <col min="23" max="23" width="14.1640625" customWidth="1"/>
    <col min="24" max="24" width="10.33203125" customWidth="1"/>
    <col min="25" max="25" width="9.33203125" customWidth="1"/>
    <col min="26" max="26" width="8.6640625" customWidth="1"/>
    <col min="27" max="27" width="12" customWidth="1"/>
  </cols>
  <sheetData>
    <row r="1" spans="1:27" ht="13.5" customHeight="1">
      <c r="A1" s="78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1"/>
      <c r="W1" s="1"/>
      <c r="X1" s="1"/>
      <c r="Y1" s="1"/>
      <c r="Z1" s="1"/>
      <c r="AA1" s="1"/>
    </row>
    <row r="2" spans="1:27" ht="42.75" customHeight="1">
      <c r="A2" s="80" t="s">
        <v>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2"/>
      <c r="V2" s="1"/>
      <c r="W2" s="1"/>
      <c r="X2" s="1"/>
      <c r="Y2" s="1"/>
      <c r="Z2" s="1"/>
      <c r="AA2" s="1"/>
    </row>
    <row r="3" spans="1:27" ht="27.75" customHeight="1">
      <c r="A3" s="83" t="s">
        <v>15</v>
      </c>
      <c r="B3" s="84"/>
      <c r="C3" s="85">
        <v>46057</v>
      </c>
      <c r="D3" s="86"/>
      <c r="E3" s="86"/>
      <c r="F3" s="86"/>
      <c r="G3" s="86"/>
      <c r="H3" s="86"/>
      <c r="I3" s="86"/>
      <c r="J3" s="86"/>
      <c r="K3" s="86"/>
      <c r="L3" s="12"/>
      <c r="M3" s="13"/>
      <c r="N3" s="87" t="s">
        <v>10</v>
      </c>
      <c r="O3" s="84"/>
      <c r="P3" s="88" t="s">
        <v>36</v>
      </c>
      <c r="Q3" s="86"/>
      <c r="R3" s="86"/>
      <c r="S3" s="89" t="s">
        <v>37</v>
      </c>
      <c r="T3" s="86"/>
      <c r="U3" s="90"/>
      <c r="V3" s="1"/>
      <c r="W3" s="1"/>
      <c r="X3" s="1"/>
      <c r="Y3" s="1"/>
      <c r="Z3" s="1"/>
      <c r="AA3" s="1"/>
    </row>
    <row r="4" spans="1:27" ht="27.75" customHeight="1">
      <c r="A4" s="98" t="s">
        <v>35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100"/>
      <c r="N4" s="103" t="s">
        <v>9</v>
      </c>
      <c r="O4" s="2" t="s">
        <v>25</v>
      </c>
      <c r="P4" s="105" t="s">
        <v>38</v>
      </c>
      <c r="Q4" s="106"/>
      <c r="R4" s="106"/>
      <c r="S4" s="106"/>
      <c r="T4" s="106"/>
      <c r="U4" s="107"/>
      <c r="V4" s="1"/>
      <c r="W4" s="1"/>
      <c r="X4" s="1"/>
      <c r="Y4" s="1"/>
      <c r="Z4" s="1"/>
      <c r="AA4" s="1"/>
    </row>
    <row r="5" spans="1:27" ht="27.75" customHeight="1">
      <c r="A5" s="101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102"/>
      <c r="N5" s="104"/>
      <c r="O5" s="3" t="s">
        <v>18</v>
      </c>
      <c r="P5" s="108"/>
      <c r="Q5" s="109"/>
      <c r="R5" s="109"/>
      <c r="S5" s="109"/>
      <c r="T5" s="109"/>
      <c r="U5" s="110"/>
      <c r="V5" s="1"/>
      <c r="W5" s="1"/>
      <c r="X5" s="1"/>
      <c r="Y5" s="1"/>
      <c r="Z5" s="1"/>
      <c r="AA5" s="1"/>
    </row>
    <row r="6" spans="1:27" ht="27.75" customHeight="1">
      <c r="A6" s="111"/>
      <c r="B6" s="79"/>
      <c r="C6" s="112"/>
      <c r="D6" s="79"/>
      <c r="E6" s="79"/>
      <c r="F6" s="79"/>
      <c r="G6" s="79"/>
      <c r="H6" s="79"/>
      <c r="I6" s="79"/>
      <c r="J6" s="79"/>
      <c r="K6" s="79"/>
      <c r="L6" s="79"/>
      <c r="M6" s="102"/>
      <c r="N6" s="104"/>
      <c r="O6" s="4" t="s">
        <v>20</v>
      </c>
      <c r="P6" s="113" t="s">
        <v>39</v>
      </c>
      <c r="Q6" s="114"/>
      <c r="R6" s="114"/>
      <c r="S6" s="114"/>
      <c r="T6" s="4" t="s">
        <v>21</v>
      </c>
      <c r="U6" s="14" t="s">
        <v>56</v>
      </c>
      <c r="V6" s="1"/>
      <c r="W6" s="1"/>
      <c r="X6" s="1"/>
      <c r="Y6" s="1"/>
      <c r="Z6" s="1"/>
      <c r="AA6" s="1"/>
    </row>
    <row r="7" spans="1:27" ht="27.75" customHeight="1">
      <c r="A7" s="115"/>
      <c r="B7" s="79"/>
      <c r="C7" s="116"/>
      <c r="D7" s="79"/>
      <c r="E7" s="79"/>
      <c r="F7" s="79"/>
      <c r="G7" s="79"/>
      <c r="H7" s="79"/>
      <c r="I7" s="79"/>
      <c r="J7" s="79"/>
      <c r="K7" s="79"/>
      <c r="L7" s="79"/>
      <c r="M7" s="102"/>
      <c r="N7" s="104"/>
      <c r="O7" s="117" t="s">
        <v>27</v>
      </c>
      <c r="P7" s="119" t="s">
        <v>40</v>
      </c>
      <c r="Q7" s="114"/>
      <c r="R7" s="114"/>
      <c r="S7" s="114"/>
      <c r="T7" s="114"/>
      <c r="U7" s="120"/>
      <c r="V7" s="1"/>
      <c r="W7" s="1"/>
      <c r="X7" s="1"/>
      <c r="Y7" s="1"/>
      <c r="Z7" s="1"/>
      <c r="AA7" s="1"/>
    </row>
    <row r="8" spans="1:27" ht="27.75" customHeight="1">
      <c r="A8" s="111"/>
      <c r="B8" s="79"/>
      <c r="C8" s="121"/>
      <c r="D8" s="79"/>
      <c r="E8" s="79"/>
      <c r="F8" s="79"/>
      <c r="G8" s="79"/>
      <c r="H8" s="79"/>
      <c r="I8" s="79"/>
      <c r="J8" s="79"/>
      <c r="K8" s="79"/>
      <c r="L8" s="79"/>
      <c r="M8" s="102"/>
      <c r="N8" s="104"/>
      <c r="O8" s="118"/>
      <c r="P8" s="122"/>
      <c r="Q8" s="123"/>
      <c r="R8" s="123"/>
      <c r="S8" s="123"/>
      <c r="T8" s="123"/>
      <c r="U8" s="124"/>
      <c r="V8" s="1"/>
      <c r="W8" s="1"/>
      <c r="X8" s="1"/>
      <c r="Y8" s="1"/>
      <c r="Z8" s="1"/>
      <c r="AA8" s="1"/>
    </row>
    <row r="9" spans="1:27" ht="27.75" customHeight="1">
      <c r="A9" s="101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102"/>
      <c r="N9" s="104"/>
      <c r="O9" s="3" t="s">
        <v>26</v>
      </c>
      <c r="P9" s="125" t="s">
        <v>7</v>
      </c>
      <c r="Q9" s="79"/>
      <c r="R9" s="3" t="s">
        <v>17</v>
      </c>
      <c r="S9" s="125" t="s">
        <v>41</v>
      </c>
      <c r="T9" s="79"/>
      <c r="U9" s="126"/>
      <c r="V9" s="1"/>
      <c r="W9" s="1"/>
      <c r="X9" s="1"/>
      <c r="Y9" s="1"/>
      <c r="Z9" s="1"/>
      <c r="AA9" s="1"/>
    </row>
    <row r="10" spans="1:27" ht="27.75" customHeight="1">
      <c r="A10" s="91" t="s">
        <v>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92"/>
      <c r="P10" s="92"/>
      <c r="Q10" s="92"/>
      <c r="R10" s="92"/>
      <c r="S10" s="92"/>
      <c r="T10" s="34"/>
      <c r="U10" s="35"/>
      <c r="V10" s="1"/>
      <c r="W10" s="1"/>
      <c r="X10" s="1"/>
      <c r="Y10" s="1"/>
      <c r="Z10" s="1"/>
      <c r="AA10" s="1"/>
    </row>
    <row r="11" spans="1:27" ht="43.5" customHeight="1">
      <c r="A11" s="5" t="s">
        <v>0</v>
      </c>
      <c r="B11" s="93">
        <f>O11</f>
        <v>19569000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6" t="s">
        <v>24</v>
      </c>
      <c r="O11" s="95">
        <f>Q28*1.1</f>
        <v>19569000</v>
      </c>
      <c r="P11" s="34"/>
      <c r="Q11" s="34"/>
      <c r="R11" s="34"/>
      <c r="S11" s="34"/>
      <c r="T11" s="96" t="s">
        <v>13</v>
      </c>
      <c r="U11" s="97"/>
      <c r="V11" s="1"/>
      <c r="W11" s="1"/>
      <c r="X11" s="1"/>
      <c r="Y11" s="1"/>
      <c r="Z11" s="1"/>
      <c r="AA11" s="1"/>
    </row>
    <row r="12" spans="1:27" ht="3.75" customHeight="1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9"/>
      <c r="V12" s="1"/>
      <c r="W12" s="1"/>
      <c r="X12" s="1"/>
      <c r="Y12" s="1"/>
      <c r="Z12" s="1"/>
      <c r="AA12" s="1"/>
    </row>
    <row r="13" spans="1:27" ht="33" customHeight="1">
      <c r="A13" s="19" t="s">
        <v>16</v>
      </c>
      <c r="B13" s="75" t="s">
        <v>4</v>
      </c>
      <c r="C13" s="76"/>
      <c r="D13" s="76"/>
      <c r="E13" s="76"/>
      <c r="F13" s="76"/>
      <c r="G13" s="76"/>
      <c r="H13" s="76"/>
      <c r="I13" s="77"/>
      <c r="J13" s="75" t="s">
        <v>23</v>
      </c>
      <c r="K13" s="76"/>
      <c r="L13" s="77"/>
      <c r="M13" s="75" t="s">
        <v>32</v>
      </c>
      <c r="N13" s="77"/>
      <c r="O13" s="75" t="s">
        <v>33</v>
      </c>
      <c r="P13" s="77"/>
      <c r="Q13" s="75" t="s">
        <v>6</v>
      </c>
      <c r="R13" s="76"/>
      <c r="S13" s="76"/>
      <c r="T13" s="77"/>
      <c r="U13" s="22" t="s">
        <v>14</v>
      </c>
      <c r="V13" s="1"/>
      <c r="W13" s="1"/>
      <c r="X13" s="1"/>
      <c r="Y13" s="1"/>
      <c r="Z13" s="1"/>
      <c r="AA13" s="1"/>
    </row>
    <row r="14" spans="1:27" ht="44.25" customHeight="1">
      <c r="A14" s="137" t="s">
        <v>42</v>
      </c>
      <c r="B14" s="58" t="s">
        <v>43</v>
      </c>
      <c r="C14" s="59"/>
      <c r="D14" s="59"/>
      <c r="E14" s="59"/>
      <c r="F14" s="59"/>
      <c r="G14" s="59"/>
      <c r="H14" s="59"/>
      <c r="I14" s="60"/>
      <c r="J14" s="55" t="s">
        <v>44</v>
      </c>
      <c r="K14" s="56"/>
      <c r="L14" s="57"/>
      <c r="M14" s="61">
        <v>1</v>
      </c>
      <c r="N14" s="57"/>
      <c r="O14" s="62">
        <v>2500000</v>
      </c>
      <c r="P14" s="57"/>
      <c r="Q14" s="62">
        <f t="shared" ref="Q14:Q23" si="0">M14*O14</f>
        <v>2500000</v>
      </c>
      <c r="R14" s="56"/>
      <c r="S14" s="56"/>
      <c r="T14" s="57"/>
      <c r="U14" s="21"/>
      <c r="V14" s="1"/>
      <c r="W14" s="1"/>
      <c r="X14" s="1"/>
      <c r="Y14" s="1"/>
      <c r="Z14" s="1"/>
      <c r="AA14" s="1"/>
    </row>
    <row r="15" spans="1:27" ht="44.25" customHeight="1">
      <c r="A15" s="132"/>
      <c r="B15" s="58" t="s">
        <v>45</v>
      </c>
      <c r="C15" s="59"/>
      <c r="D15" s="59"/>
      <c r="E15" s="59"/>
      <c r="F15" s="59"/>
      <c r="G15" s="59"/>
      <c r="H15" s="59"/>
      <c r="I15" s="60"/>
      <c r="J15" s="55" t="s">
        <v>46</v>
      </c>
      <c r="K15" s="56"/>
      <c r="L15" s="57"/>
      <c r="M15" s="61">
        <v>1</v>
      </c>
      <c r="N15" s="57"/>
      <c r="O15" s="62">
        <v>5000000</v>
      </c>
      <c r="P15" s="57"/>
      <c r="Q15" s="62">
        <f t="shared" si="0"/>
        <v>5000000</v>
      </c>
      <c r="R15" s="56"/>
      <c r="S15" s="56"/>
      <c r="T15" s="57"/>
      <c r="U15" s="21"/>
      <c r="V15" s="1"/>
      <c r="W15" s="29"/>
      <c r="X15" s="1"/>
      <c r="Y15" s="1"/>
      <c r="Z15" s="1"/>
      <c r="AA15" s="1"/>
    </row>
    <row r="16" spans="1:27" ht="44.25" customHeight="1">
      <c r="A16" s="132"/>
      <c r="B16" s="58" t="s">
        <v>47</v>
      </c>
      <c r="C16" s="59"/>
      <c r="D16" s="59"/>
      <c r="E16" s="59"/>
      <c r="F16" s="59"/>
      <c r="G16" s="59"/>
      <c r="H16" s="59"/>
      <c r="I16" s="60"/>
      <c r="J16" s="55"/>
      <c r="K16" s="56"/>
      <c r="L16" s="57"/>
      <c r="M16" s="61">
        <v>1</v>
      </c>
      <c r="N16" s="57"/>
      <c r="O16" s="62">
        <v>1000000</v>
      </c>
      <c r="P16" s="57"/>
      <c r="Q16" s="62">
        <f t="shared" si="0"/>
        <v>1000000</v>
      </c>
      <c r="R16" s="56"/>
      <c r="S16" s="56"/>
      <c r="T16" s="57"/>
      <c r="U16" s="21"/>
      <c r="V16" s="1"/>
      <c r="W16" s="29"/>
      <c r="X16" s="1"/>
      <c r="Y16" s="1"/>
      <c r="Z16" s="1"/>
      <c r="AA16" s="1"/>
    </row>
    <row r="17" spans="1:27" ht="44.25" customHeight="1">
      <c r="A17" s="132"/>
      <c r="B17" s="58" t="s">
        <v>48</v>
      </c>
      <c r="C17" s="59"/>
      <c r="D17" s="59"/>
      <c r="E17" s="59"/>
      <c r="F17" s="59"/>
      <c r="G17" s="59"/>
      <c r="H17" s="59"/>
      <c r="I17" s="60"/>
      <c r="J17" s="55"/>
      <c r="K17" s="56"/>
      <c r="L17" s="57"/>
      <c r="M17" s="61">
        <v>4</v>
      </c>
      <c r="N17" s="57"/>
      <c r="O17" s="62">
        <v>600000</v>
      </c>
      <c r="P17" s="57"/>
      <c r="Q17" s="62">
        <f t="shared" si="0"/>
        <v>2400000</v>
      </c>
      <c r="R17" s="56"/>
      <c r="S17" s="56"/>
      <c r="T17" s="57"/>
      <c r="U17" s="24"/>
      <c r="V17" s="1"/>
      <c r="W17" s="29"/>
      <c r="X17" s="1"/>
      <c r="Y17" s="1"/>
      <c r="Z17" s="1"/>
      <c r="AA17" s="1"/>
    </row>
    <row r="18" spans="1:27" ht="44.25" customHeight="1">
      <c r="A18" s="133"/>
      <c r="B18" s="58" t="s">
        <v>50</v>
      </c>
      <c r="C18" s="59"/>
      <c r="D18" s="59"/>
      <c r="E18" s="59"/>
      <c r="F18" s="59"/>
      <c r="G18" s="59"/>
      <c r="H18" s="59"/>
      <c r="I18" s="60"/>
      <c r="J18" s="55"/>
      <c r="K18" s="56"/>
      <c r="L18" s="57"/>
      <c r="M18" s="61">
        <v>4</v>
      </c>
      <c r="N18" s="57"/>
      <c r="O18" s="62">
        <v>400000</v>
      </c>
      <c r="P18" s="57"/>
      <c r="Q18" s="62">
        <f t="shared" si="0"/>
        <v>1600000</v>
      </c>
      <c r="R18" s="56"/>
      <c r="S18" s="56"/>
      <c r="T18" s="57"/>
      <c r="U18" s="24"/>
      <c r="V18" s="1"/>
      <c r="W18" s="1"/>
      <c r="X18" s="1"/>
      <c r="Y18" s="1"/>
      <c r="Z18" s="1"/>
      <c r="AA18" s="1"/>
    </row>
    <row r="19" spans="1:27" ht="44.25" customHeight="1">
      <c r="A19" s="134" t="s">
        <v>49</v>
      </c>
      <c r="B19" s="58" t="s">
        <v>51</v>
      </c>
      <c r="C19" s="59"/>
      <c r="D19" s="59"/>
      <c r="E19" s="59"/>
      <c r="F19" s="59"/>
      <c r="G19" s="59"/>
      <c r="H19" s="59"/>
      <c r="I19" s="60"/>
      <c r="J19" s="55" t="s">
        <v>52</v>
      </c>
      <c r="K19" s="127"/>
      <c r="L19" s="128"/>
      <c r="M19" s="61">
        <v>1</v>
      </c>
      <c r="N19" s="129"/>
      <c r="O19" s="62">
        <v>540000</v>
      </c>
      <c r="P19" s="130"/>
      <c r="Q19" s="62">
        <f t="shared" si="0"/>
        <v>540000</v>
      </c>
      <c r="R19" s="131"/>
      <c r="S19" s="131"/>
      <c r="T19" s="130"/>
      <c r="U19" s="24"/>
      <c r="V19" s="1"/>
      <c r="W19" s="29"/>
      <c r="X19" s="1"/>
      <c r="Y19" s="1"/>
      <c r="Z19" s="1"/>
      <c r="AA19" s="1"/>
    </row>
    <row r="20" spans="1:27" ht="44.25" customHeight="1">
      <c r="A20" s="136"/>
      <c r="B20" s="58" t="s">
        <v>54</v>
      </c>
      <c r="C20" s="59"/>
      <c r="D20" s="59"/>
      <c r="E20" s="59"/>
      <c r="F20" s="59"/>
      <c r="G20" s="59"/>
      <c r="H20" s="27"/>
      <c r="I20" s="28"/>
      <c r="J20" s="55" t="s">
        <v>55</v>
      </c>
      <c r="K20" s="127"/>
      <c r="L20" s="128"/>
      <c r="M20" s="61">
        <v>1</v>
      </c>
      <c r="N20" s="129"/>
      <c r="O20" s="62">
        <v>1000000</v>
      </c>
      <c r="P20" s="130"/>
      <c r="Q20" s="62">
        <f t="shared" ref="Q20" si="1">M20*O20</f>
        <v>1000000</v>
      </c>
      <c r="R20" s="131"/>
      <c r="S20" s="131"/>
      <c r="T20" s="130"/>
      <c r="U20" s="10"/>
      <c r="V20" s="1"/>
      <c r="W20" s="29"/>
      <c r="X20" s="1"/>
      <c r="Y20" s="1"/>
      <c r="Z20" s="1"/>
      <c r="AA20" s="1"/>
    </row>
    <row r="21" spans="1:27" ht="44.25" customHeight="1">
      <c r="A21" s="136"/>
      <c r="B21" s="58" t="s">
        <v>59</v>
      </c>
      <c r="C21" s="59"/>
      <c r="D21" s="59"/>
      <c r="E21" s="59"/>
      <c r="F21" s="59"/>
      <c r="G21" s="59"/>
      <c r="H21" s="27"/>
      <c r="I21" s="28"/>
      <c r="J21" s="55" t="s">
        <v>60</v>
      </c>
      <c r="K21" s="127"/>
      <c r="L21" s="128"/>
      <c r="M21" s="61">
        <v>1</v>
      </c>
      <c r="N21" s="129"/>
      <c r="O21" s="62">
        <v>1300000</v>
      </c>
      <c r="P21" s="130"/>
      <c r="Q21" s="62">
        <f t="shared" ref="Q21" si="2">M21*O21</f>
        <v>1300000</v>
      </c>
      <c r="R21" s="131"/>
      <c r="S21" s="131"/>
      <c r="T21" s="130"/>
      <c r="U21" s="10"/>
      <c r="V21" s="1"/>
      <c r="W21" s="29"/>
      <c r="X21" s="1"/>
      <c r="Y21" s="1"/>
      <c r="Z21" s="1"/>
      <c r="AA21" s="1"/>
    </row>
    <row r="22" spans="1:27" ht="44.25" customHeight="1">
      <c r="A22" s="135"/>
      <c r="B22" s="58" t="s">
        <v>53</v>
      </c>
      <c r="C22" s="59"/>
      <c r="D22" s="59"/>
      <c r="E22" s="59"/>
      <c r="F22" s="59"/>
      <c r="G22" s="59"/>
      <c r="H22" s="59"/>
      <c r="I22" s="60"/>
      <c r="J22" s="55"/>
      <c r="K22" s="127"/>
      <c r="L22" s="128"/>
      <c r="M22" s="61">
        <v>1</v>
      </c>
      <c r="N22" s="129"/>
      <c r="O22" s="62">
        <v>450000</v>
      </c>
      <c r="P22" s="130"/>
      <c r="Q22" s="62">
        <f t="shared" si="0"/>
        <v>450000</v>
      </c>
      <c r="R22" s="131"/>
      <c r="S22" s="131"/>
      <c r="T22" s="130"/>
      <c r="U22" s="10"/>
      <c r="V22" s="1"/>
      <c r="W22" s="1"/>
      <c r="X22" s="1"/>
      <c r="Y22" s="1"/>
      <c r="Z22" s="1"/>
      <c r="AA22" s="1"/>
    </row>
    <row r="23" spans="1:27" ht="44.25" customHeight="1">
      <c r="A23" s="134" t="s">
        <v>57</v>
      </c>
      <c r="B23" s="58" t="s">
        <v>58</v>
      </c>
      <c r="C23" s="59"/>
      <c r="D23" s="59"/>
      <c r="E23" s="59"/>
      <c r="F23" s="59"/>
      <c r="G23" s="59"/>
      <c r="H23" s="59"/>
      <c r="I23" s="60"/>
      <c r="J23" s="55"/>
      <c r="K23" s="127"/>
      <c r="L23" s="128"/>
      <c r="M23" s="61">
        <v>1</v>
      </c>
      <c r="N23" s="129"/>
      <c r="O23" s="62">
        <v>2000000</v>
      </c>
      <c r="P23" s="130"/>
      <c r="Q23" s="62">
        <f t="shared" si="0"/>
        <v>2000000</v>
      </c>
      <c r="R23" s="131"/>
      <c r="S23" s="131"/>
      <c r="T23" s="130"/>
      <c r="U23" s="23"/>
      <c r="V23" s="1"/>
      <c r="W23" s="1"/>
      <c r="X23" s="1"/>
      <c r="Y23" s="1"/>
      <c r="Z23" s="1"/>
      <c r="AA23" s="1"/>
    </row>
    <row r="24" spans="1:27" ht="44.25" customHeight="1">
      <c r="A24" s="136"/>
      <c r="B24" s="58"/>
      <c r="C24" s="59"/>
      <c r="D24" s="59"/>
      <c r="E24" s="59"/>
      <c r="F24" s="59"/>
      <c r="G24" s="59"/>
      <c r="H24" s="59"/>
      <c r="I24" s="60"/>
      <c r="J24" s="55"/>
      <c r="K24" s="127"/>
      <c r="L24" s="128"/>
      <c r="M24" s="61"/>
      <c r="N24" s="129"/>
      <c r="O24" s="62"/>
      <c r="P24" s="130"/>
      <c r="Q24" s="62"/>
      <c r="R24" s="131"/>
      <c r="S24" s="131"/>
      <c r="T24" s="130"/>
      <c r="U24" s="24"/>
      <c r="V24" s="1"/>
      <c r="W24" s="1"/>
      <c r="X24" s="1"/>
      <c r="Y24" s="1"/>
      <c r="Z24" s="1"/>
      <c r="AA24" s="1"/>
    </row>
    <row r="25" spans="1:27" ht="44.25" customHeight="1">
      <c r="A25" s="135"/>
      <c r="B25" s="58"/>
      <c r="C25" s="59"/>
      <c r="D25" s="59"/>
      <c r="E25" s="59"/>
      <c r="F25" s="59"/>
      <c r="G25" s="59"/>
      <c r="H25" s="59"/>
      <c r="I25" s="60"/>
      <c r="J25" s="55"/>
      <c r="K25" s="127"/>
      <c r="L25" s="128"/>
      <c r="M25" s="61"/>
      <c r="N25" s="129"/>
      <c r="O25" s="62"/>
      <c r="P25" s="130"/>
      <c r="Q25" s="62"/>
      <c r="R25" s="131"/>
      <c r="S25" s="131"/>
      <c r="T25" s="130"/>
      <c r="U25" s="24"/>
      <c r="V25" s="1"/>
      <c r="W25" s="1"/>
      <c r="X25" s="1"/>
      <c r="Y25" s="1"/>
      <c r="Z25" s="1"/>
      <c r="AA25" s="1"/>
    </row>
    <row r="26" spans="1:27" ht="40.5" customHeight="1">
      <c r="A26" s="11"/>
      <c r="B26" s="58"/>
      <c r="C26" s="59"/>
      <c r="D26" s="59"/>
      <c r="E26" s="59"/>
      <c r="F26" s="59"/>
      <c r="G26" s="59"/>
      <c r="H26" s="59"/>
      <c r="I26" s="60"/>
      <c r="J26" s="55"/>
      <c r="K26" s="127"/>
      <c r="L26" s="128"/>
      <c r="M26" s="61"/>
      <c r="N26" s="129"/>
      <c r="O26" s="62"/>
      <c r="P26" s="130"/>
      <c r="Q26" s="62"/>
      <c r="R26" s="131"/>
      <c r="S26" s="131"/>
      <c r="T26" s="130"/>
      <c r="U26" s="10"/>
      <c r="V26" s="1"/>
      <c r="W26" s="1"/>
      <c r="X26" s="1"/>
      <c r="Y26" s="1"/>
      <c r="Z26" s="1"/>
      <c r="AA26" s="1"/>
    </row>
    <row r="27" spans="1:27" ht="40.5" customHeight="1">
      <c r="A27" s="11"/>
      <c r="B27" s="58"/>
      <c r="C27" s="59"/>
      <c r="D27" s="59"/>
      <c r="E27" s="59"/>
      <c r="F27" s="59"/>
      <c r="G27" s="59"/>
      <c r="H27" s="59"/>
      <c r="I27" s="60"/>
      <c r="J27" s="55"/>
      <c r="K27" s="127"/>
      <c r="L27" s="128"/>
      <c r="M27" s="61"/>
      <c r="N27" s="129"/>
      <c r="O27" s="62"/>
      <c r="P27" s="130"/>
      <c r="Q27" s="62"/>
      <c r="R27" s="131"/>
      <c r="S27" s="131"/>
      <c r="T27" s="130"/>
      <c r="U27" s="23"/>
      <c r="V27" s="1"/>
      <c r="W27" s="1"/>
      <c r="X27" s="1"/>
      <c r="Y27" s="1"/>
      <c r="Z27" s="1"/>
      <c r="AA27" s="1"/>
    </row>
    <row r="28" spans="1:27" ht="27.75" customHeight="1">
      <c r="A28" s="25"/>
      <c r="B28" s="72" t="s">
        <v>22</v>
      </c>
      <c r="C28" s="73"/>
      <c r="D28" s="73"/>
      <c r="E28" s="73"/>
      <c r="F28" s="73"/>
      <c r="G28" s="73"/>
      <c r="H28" s="74"/>
      <c r="I28" s="20"/>
      <c r="J28" s="68"/>
      <c r="K28" s="69"/>
      <c r="L28" s="70"/>
      <c r="M28" s="71"/>
      <c r="N28" s="70"/>
      <c r="O28" s="71"/>
      <c r="P28" s="70"/>
      <c r="Q28" s="71">
        <f>SUM(Q14:T24)</f>
        <v>17790000</v>
      </c>
      <c r="R28" s="69"/>
      <c r="S28" s="69"/>
      <c r="T28" s="70"/>
      <c r="U28" s="26"/>
      <c r="V28" s="1"/>
      <c r="W28" s="1"/>
      <c r="X28" s="1"/>
      <c r="Y28" s="1"/>
      <c r="Z28" s="1"/>
      <c r="AA28" s="1"/>
    </row>
    <row r="29" spans="1:27" ht="27.75" customHeight="1">
      <c r="A29" s="30" t="s">
        <v>19</v>
      </c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5"/>
      <c r="V29" s="1"/>
      <c r="W29" s="1"/>
      <c r="X29" s="1"/>
      <c r="Y29" s="1"/>
      <c r="Z29" s="1"/>
      <c r="AA29" s="1"/>
    </row>
    <row r="30" spans="1:27" ht="27.75" customHeight="1">
      <c r="A30" s="31"/>
      <c r="B30" s="36"/>
      <c r="C30" s="37"/>
      <c r="D30" s="37"/>
      <c r="E30" s="15"/>
      <c r="F30" s="38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9"/>
      <c r="V30" s="1"/>
      <c r="W30" s="1"/>
      <c r="X30" s="1"/>
      <c r="Y30" s="1"/>
      <c r="Z30" s="1"/>
      <c r="AA30" s="1"/>
    </row>
    <row r="31" spans="1:27" ht="27.75" customHeight="1">
      <c r="A31" s="31"/>
      <c r="B31" s="40"/>
      <c r="C31" s="41"/>
      <c r="D31" s="42"/>
      <c r="E31" s="13"/>
      <c r="F31" s="43"/>
      <c r="G31" s="41"/>
      <c r="H31" s="41"/>
      <c r="I31" s="41"/>
      <c r="J31" s="41"/>
      <c r="K31" s="41"/>
      <c r="L31" s="41"/>
      <c r="M31" s="41"/>
      <c r="N31" s="41"/>
      <c r="O31" s="42"/>
      <c r="P31" s="44" t="s">
        <v>11</v>
      </c>
      <c r="Q31" s="41"/>
      <c r="R31" s="42"/>
      <c r="S31" s="45" t="s">
        <v>31</v>
      </c>
      <c r="T31" s="41"/>
      <c r="U31" s="46"/>
      <c r="V31" s="1"/>
      <c r="W31" s="1"/>
      <c r="X31" s="1"/>
      <c r="Y31" s="1"/>
      <c r="Z31" s="1"/>
      <c r="AA31" s="1"/>
    </row>
    <row r="32" spans="1:27" ht="27.75" customHeight="1">
      <c r="A32" s="31"/>
      <c r="B32" s="47"/>
      <c r="C32" s="48"/>
      <c r="D32" s="49"/>
      <c r="E32" s="16"/>
      <c r="F32" s="50"/>
      <c r="G32" s="48"/>
      <c r="H32" s="48"/>
      <c r="I32" s="48"/>
      <c r="J32" s="48"/>
      <c r="K32" s="48"/>
      <c r="L32" s="48"/>
      <c r="M32" s="48"/>
      <c r="N32" s="48"/>
      <c r="O32" s="49"/>
      <c r="P32" s="51" t="s">
        <v>12</v>
      </c>
      <c r="Q32" s="48"/>
      <c r="R32" s="49"/>
      <c r="S32" s="52" t="s">
        <v>28</v>
      </c>
      <c r="T32" s="48"/>
      <c r="U32" s="53"/>
      <c r="V32" s="1"/>
      <c r="W32" s="1"/>
      <c r="X32" s="1"/>
      <c r="Y32" s="1"/>
      <c r="Z32" s="1"/>
      <c r="AA32" s="1"/>
    </row>
    <row r="33" spans="1:27" ht="27.75" customHeight="1">
      <c r="A33" s="31"/>
      <c r="B33" s="47" t="s">
        <v>29</v>
      </c>
      <c r="C33" s="48"/>
      <c r="D33" s="49"/>
      <c r="E33" s="17"/>
      <c r="F33" s="50" t="s">
        <v>1</v>
      </c>
      <c r="G33" s="48"/>
      <c r="H33" s="48"/>
      <c r="I33" s="48"/>
      <c r="J33" s="48"/>
      <c r="K33" s="48"/>
      <c r="L33" s="48"/>
      <c r="M33" s="48"/>
      <c r="N33" s="48"/>
      <c r="O33" s="49"/>
      <c r="P33" s="51" t="s">
        <v>8</v>
      </c>
      <c r="Q33" s="48"/>
      <c r="R33" s="49"/>
      <c r="S33" s="54" t="s">
        <v>2</v>
      </c>
      <c r="T33" s="48"/>
      <c r="U33" s="53"/>
      <c r="V33" s="1"/>
      <c r="W33" s="1"/>
      <c r="X33" s="1"/>
      <c r="Y33" s="1"/>
      <c r="Z33" s="1"/>
      <c r="AA33" s="1"/>
    </row>
    <row r="34" spans="1:27" ht="27.75" customHeight="1">
      <c r="A34" s="32"/>
      <c r="B34" s="63" t="s">
        <v>30</v>
      </c>
      <c r="C34" s="64"/>
      <c r="D34" s="65"/>
      <c r="E34" s="18"/>
      <c r="F34" s="66" t="s">
        <v>34</v>
      </c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7"/>
      <c r="V34" s="1"/>
      <c r="W34" s="1"/>
      <c r="X34" s="1"/>
      <c r="Y34" s="1"/>
      <c r="Z34" s="1"/>
      <c r="AA34" s="1"/>
    </row>
    <row r="35" spans="1:27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95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</sheetData>
  <mergeCells count="127">
    <mergeCell ref="B27:I27"/>
    <mergeCell ref="B21:G21"/>
    <mergeCell ref="J21:L21"/>
    <mergeCell ref="M21:N21"/>
    <mergeCell ref="O21:P21"/>
    <mergeCell ref="Q21:T21"/>
    <mergeCell ref="Q22:T22"/>
    <mergeCell ref="B20:G20"/>
    <mergeCell ref="J20:L20"/>
    <mergeCell ref="M20:N20"/>
    <mergeCell ref="O20:P20"/>
    <mergeCell ref="Q20:T20"/>
    <mergeCell ref="Q26:T26"/>
    <mergeCell ref="O26:P26"/>
    <mergeCell ref="M26:N26"/>
    <mergeCell ref="J26:L26"/>
    <mergeCell ref="B26:I26"/>
    <mergeCell ref="Q27:T27"/>
    <mergeCell ref="A14:A18"/>
    <mergeCell ref="A19:A22"/>
    <mergeCell ref="A23:A25"/>
    <mergeCell ref="B25:I25"/>
    <mergeCell ref="J25:L25"/>
    <mergeCell ref="M25:N25"/>
    <mergeCell ref="O25:P25"/>
    <mergeCell ref="Q25:T25"/>
    <mergeCell ref="B24:I24"/>
    <mergeCell ref="J24:L24"/>
    <mergeCell ref="M24:N24"/>
    <mergeCell ref="O24:P24"/>
    <mergeCell ref="Q24:T24"/>
    <mergeCell ref="B23:I23"/>
    <mergeCell ref="J23:L23"/>
    <mergeCell ref="M23:N23"/>
    <mergeCell ref="O23:P23"/>
    <mergeCell ref="Q23:T23"/>
    <mergeCell ref="B22:I22"/>
    <mergeCell ref="J22:L22"/>
    <mergeCell ref="M22:N22"/>
    <mergeCell ref="O22:P22"/>
    <mergeCell ref="P9:Q9"/>
    <mergeCell ref="S9:U9"/>
    <mergeCell ref="Q18:T18"/>
    <mergeCell ref="B19:I19"/>
    <mergeCell ref="J19:L19"/>
    <mergeCell ref="M19:N19"/>
    <mergeCell ref="O19:P19"/>
    <mergeCell ref="Q19:T19"/>
    <mergeCell ref="A1:U1"/>
    <mergeCell ref="A2:U2"/>
    <mergeCell ref="A3:B3"/>
    <mergeCell ref="C3:K3"/>
    <mergeCell ref="N3:O3"/>
    <mergeCell ref="P3:R3"/>
    <mergeCell ref="S3:U3"/>
    <mergeCell ref="A10:U10"/>
    <mergeCell ref="B11:M11"/>
    <mergeCell ref="O11:S11"/>
    <mergeCell ref="T11:U11"/>
    <mergeCell ref="A4:M5"/>
    <mergeCell ref="N4:N9"/>
    <mergeCell ref="P4:U5"/>
    <mergeCell ref="A6:B6"/>
    <mergeCell ref="C6:M6"/>
    <mergeCell ref="P6:S6"/>
    <mergeCell ref="A7:B7"/>
    <mergeCell ref="C7:M7"/>
    <mergeCell ref="O7:O8"/>
    <mergeCell ref="P7:U7"/>
    <mergeCell ref="A8:B9"/>
    <mergeCell ref="C8:M9"/>
    <mergeCell ref="P8:U8"/>
    <mergeCell ref="B13:I13"/>
    <mergeCell ref="J13:L13"/>
    <mergeCell ref="M13:N13"/>
    <mergeCell ref="O13:P13"/>
    <mergeCell ref="Q13:T13"/>
    <mergeCell ref="B15:I15"/>
    <mergeCell ref="J15:L15"/>
    <mergeCell ref="M15:N15"/>
    <mergeCell ref="O15:P15"/>
    <mergeCell ref="Q15:T15"/>
    <mergeCell ref="B14:I14"/>
    <mergeCell ref="J14:L14"/>
    <mergeCell ref="M14:N14"/>
    <mergeCell ref="O14:P14"/>
    <mergeCell ref="Q14:T14"/>
    <mergeCell ref="J16:L16"/>
    <mergeCell ref="B16:I16"/>
    <mergeCell ref="M16:N16"/>
    <mergeCell ref="O16:P16"/>
    <mergeCell ref="Q16:T16"/>
    <mergeCell ref="B34:D34"/>
    <mergeCell ref="F34:U34"/>
    <mergeCell ref="B17:I17"/>
    <mergeCell ref="J17:L17"/>
    <mergeCell ref="M17:N17"/>
    <mergeCell ref="O17:P17"/>
    <mergeCell ref="Q17:T17"/>
    <mergeCell ref="J28:L28"/>
    <mergeCell ref="M28:N28"/>
    <mergeCell ref="O28:P28"/>
    <mergeCell ref="Q28:T28"/>
    <mergeCell ref="B28:H28"/>
    <mergeCell ref="B18:I18"/>
    <mergeCell ref="J18:L18"/>
    <mergeCell ref="M18:N18"/>
    <mergeCell ref="O18:P18"/>
    <mergeCell ref="J27:L27"/>
    <mergeCell ref="M27:N27"/>
    <mergeCell ref="O27:P27"/>
    <mergeCell ref="A29:A34"/>
    <mergeCell ref="B29:U29"/>
    <mergeCell ref="B30:D30"/>
    <mergeCell ref="F30:U30"/>
    <mergeCell ref="B31:D31"/>
    <mergeCell ref="F31:O31"/>
    <mergeCell ref="P31:R31"/>
    <mergeCell ref="S31:U31"/>
    <mergeCell ref="B32:D32"/>
    <mergeCell ref="F32:O32"/>
    <mergeCell ref="P32:R32"/>
    <mergeCell ref="S32:U32"/>
    <mergeCell ref="B33:D33"/>
    <mergeCell ref="F33:O33"/>
    <mergeCell ref="P33:R33"/>
    <mergeCell ref="S33:U33"/>
  </mergeCells>
  <phoneticPr fontId="12" type="noConversion"/>
  <hyperlinks>
    <hyperlink ref="S32" r:id="rId1" xr:uid="{00000000-0004-0000-0000-000000000000}"/>
  </hyperlinks>
  <pageMargins left="0.98416668176651001" right="0.98416668176651001" top="0.98416668176651001" bottom="0.98416668176651001" header="0" footer="0"/>
  <pageSetup paperSize="9" scale="64" orientation="portrait" r:id="rId2"/>
  <headerFooter>
    <oddFooter>&amp;C&amp;"맑은 고딕,Regular"이 시간이 고객님의 시간중 가장 행복한 시간이 되시길 기원합니다.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s1990</cp:lastModifiedBy>
  <cp:revision>2</cp:revision>
  <cp:lastPrinted>2025-12-05T05:36:38Z</cp:lastPrinted>
  <dcterms:created xsi:type="dcterms:W3CDTF">2025-08-27T02:16:08Z</dcterms:created>
  <dcterms:modified xsi:type="dcterms:W3CDTF">2026-02-04T06:46:39Z</dcterms:modified>
  <cp:version>1300.0100.01</cp:version>
</cp:coreProperties>
</file>