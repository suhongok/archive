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/Documents/archive/jobs/현재업무/farm_nav/"/>
    </mc:Choice>
  </mc:AlternateContent>
  <xr:revisionPtr revIDLastSave="0" documentId="13_ncr:1_{40C69834-BB01-3F4D-8DFD-4488946AD293}" xr6:coauthVersionLast="47" xr6:coauthVersionMax="47" xr10:uidLastSave="{00000000-0000-0000-0000-000000000000}"/>
  <bookViews>
    <workbookView xWindow="0" yWindow="600" windowWidth="28800" windowHeight="15300" xr2:uid="{00000000-000D-0000-FFFF-FFFF00000000}"/>
  </bookViews>
  <sheets>
    <sheet name="Basic_견적서" sheetId="1" r:id="rId1"/>
    <sheet name="Smart_견적서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D19" i="2"/>
  <c r="C20" i="2"/>
  <c r="D20" i="2"/>
  <c r="C21" i="2"/>
  <c r="D21" i="2"/>
  <c r="C22" i="2"/>
  <c r="D22" i="2"/>
  <c r="C13" i="2"/>
  <c r="D13" i="2"/>
  <c r="C14" i="2"/>
  <c r="D14" i="2"/>
  <c r="C15" i="2"/>
  <c r="D15" i="2"/>
  <c r="C16" i="2"/>
  <c r="D16" i="2"/>
  <c r="C17" i="2"/>
  <c r="D17" i="2"/>
  <c r="C18" i="2"/>
  <c r="D18" i="2"/>
  <c r="D12" i="2"/>
  <c r="C12" i="2"/>
  <c r="D10" i="2"/>
  <c r="C10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0" i="2"/>
  <c r="F10" i="2"/>
  <c r="C11" i="2"/>
  <c r="D11" i="2"/>
  <c r="E11" i="2"/>
  <c r="F11" i="2"/>
  <c r="C6" i="2"/>
  <c r="D6" i="2"/>
  <c r="E6" i="2"/>
  <c r="F6" i="2"/>
  <c r="C7" i="2"/>
  <c r="D7" i="2"/>
  <c r="E7" i="2"/>
  <c r="F7" i="2"/>
  <c r="F30" i="2" s="1"/>
  <c r="C8" i="2"/>
  <c r="D8" i="2"/>
  <c r="E8" i="2"/>
  <c r="F8" i="2"/>
  <c r="F22" i="1"/>
  <c r="F31" i="2" l="1"/>
  <c r="F32" i="2" s="1"/>
  <c r="F23" i="1"/>
  <c r="F24" i="1" s="1"/>
</calcChain>
</file>

<file path=xl/sharedStrings.xml><?xml version="1.0" encoding="utf-8"?>
<sst xmlns="http://schemas.openxmlformats.org/spreadsheetml/2006/main" count="88" uniqueCount="68">
  <si>
    <t>온실용 이동로봇 견적서 (Basic)</t>
  </si>
  <si>
    <t>작성일: 2026년 01월 24일</t>
  </si>
  <si>
    <t>온실 내 골 이동 및 식물 동영상 촬영용 이동 로봇</t>
  </si>
  <si>
    <t>No</t>
  </si>
  <si>
    <t>카테고리</t>
  </si>
  <si>
    <t>품목</t>
  </si>
  <si>
    <t>사양</t>
  </si>
  <si>
    <t>수량</t>
  </si>
  <si>
    <t>금액(원)</t>
  </si>
  <si>
    <t>프레임</t>
  </si>
  <si>
    <t>알루미늄 프로파일 프레임</t>
  </si>
  <si>
    <t>4040 알루미늄 프로파일, 800x600x400mm</t>
  </si>
  <si>
    <t>프레임 연결부품 세트</t>
  </si>
  <si>
    <t>브라켓, 볼트, 너트 일체</t>
  </si>
  <si>
    <t>상판 플레이트</t>
  </si>
  <si>
    <t>알루미늄 5T, 가공 포함</t>
  </si>
  <si>
    <t>바퀴</t>
  </si>
  <si>
    <t>휠 허브 어댑터</t>
  </si>
  <si>
    <t>제어 컨트롤 박스</t>
  </si>
  <si>
    <t>ESP32-S3 메인 컨트롤러</t>
  </si>
  <si>
    <t>ESP32-S3-WROOM-1, 듀얼코어</t>
  </si>
  <si>
    <t>RS485 서보 드라이버</t>
  </si>
  <si>
    <t>Lichuan DS_R 485 서보 드라이버</t>
  </si>
  <si>
    <t>RS485 통신 모듈</t>
  </si>
  <si>
    <t>MAX485 기반 통신 모듈</t>
  </si>
  <si>
    <t>컨트롤 박스 인클로저</t>
  </si>
  <si>
    <t>IP65 방수 박스, 300x200x150mm</t>
  </si>
  <si>
    <t>배선 및 커넥터</t>
  </si>
  <si>
    <t>전원/통신 케이블, 커넥터 일체</t>
  </si>
  <si>
    <t>비상정지 스위치</t>
  </si>
  <si>
    <t>비상정지 버튼 및 리셋 스위치</t>
  </si>
  <si>
    <t>배터리 및 충전기</t>
  </si>
  <si>
    <t>리튬이온 배터리 팩</t>
  </si>
  <si>
    <t>48V 20Ah 리튬이온 배터리</t>
  </si>
  <si>
    <t>스마트 충전기</t>
  </si>
  <si>
    <t>48V 5A 스마트 충전기</t>
  </si>
  <si>
    <t>BMS (배터리 관리 시스템)</t>
  </si>
  <si>
    <t>48V BMS, 과충전/과방전 보호</t>
  </si>
  <si>
    <t>전원 분배 보드</t>
  </si>
  <si>
    <t>DC-DC 컨버터 포함</t>
  </si>
  <si>
    <t>소계</t>
  </si>
  <si>
    <t>부가세 (10%)</t>
  </si>
  <si>
    <t>합계</t>
  </si>
  <si>
    <t>비고</t>
  </si>
  <si>
    <t>1. 상기 금액은 부가세 포함 금액입니다.</t>
  </si>
  <si>
    <t>2. 납품 기간: 발주 후 4~6주 소요</t>
  </si>
  <si>
    <t>3. 유효 기간: 견적일로부터 30일</t>
  </si>
  <si>
    <t>4. 결제 조건: 계약금 50%, 납품 후 잔금 50%</t>
  </si>
  <si>
    <t>온실용 이동로봇 견적서 (Smart)</t>
  </si>
  <si>
    <t>센서 마운트 브라켓</t>
  </si>
  <si>
    <t>라이다/카메라 장착용 브라켓</t>
  </si>
  <si>
    <t>자율주행 센서</t>
  </si>
  <si>
    <t>2D 라이다 센서</t>
  </si>
  <si>
    <t>RPLiDAR A1M8 또는 동급, 360° 스캔</t>
  </si>
  <si>
    <t>Depth 카메라</t>
  </si>
  <si>
    <t>IMU 센서</t>
  </si>
  <si>
    <t>MPU9250 9축 IMU</t>
  </si>
  <si>
    <t>스마트 컨트롤러</t>
  </si>
  <si>
    <t>NVIDIA Jetson Nano</t>
  </si>
  <si>
    <t>Jetson Nano 4GB Developer Kit</t>
  </si>
  <si>
    <t>Jetson 쿨링 팬</t>
  </si>
  <si>
    <t>Noctua 40mm 저소음 팬</t>
  </si>
  <si>
    <t>WiFi/BT 모듈</t>
  </si>
  <si>
    <t>하중 50kg/개</t>
    <phoneticPr fontId="5" type="noConversion"/>
  </si>
  <si>
    <t>ssd</t>
    <phoneticPr fontId="5" type="noConversion"/>
  </si>
  <si>
    <t>128GB,M.2</t>
    <phoneticPr fontId="5" type="noConversion"/>
  </si>
  <si>
    <t>인휠 기반 허브 모터 드라이버</t>
    <phoneticPr fontId="5" type="noConversion"/>
  </si>
  <si>
    <t>축 결합용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</si>
</sst>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name val="맑은 고딕"/>
      <charset val="129"/>
    </font>
    <font>
      <b/>
      <sz val="11"/>
      <color rgb="FFFFFFFF"/>
      <name val="맑은 고딕"/>
      <charset val="129"/>
    </font>
    <font>
      <b/>
      <sz val="11"/>
      <name val="맑은 고딕"/>
      <charset val="129"/>
    </font>
    <font>
      <b/>
      <sz val="12"/>
      <name val="맑은 고딕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C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/>
    <xf numFmtId="0" fontId="0" fillId="3" borderId="1" xfId="0" applyFill="1" applyBorder="1"/>
    <xf numFmtId="0" fontId="0" fillId="0" borderId="3" xfId="0" applyBorder="1"/>
    <xf numFmtId="0" fontId="4" fillId="4" borderId="1" xfId="0" applyFont="1" applyFill="1" applyBorder="1" applyAlignment="1">
      <alignment horizontal="center"/>
    </xf>
    <xf numFmtId="0" fontId="0" fillId="4" borderId="1" xfId="0" applyFill="1" applyBorder="1"/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/Documents/archive/jobs/&#54788;&#51116;&#50629;&#47924;/farm_nav/&#50728;&#49892;&#50857;_&#51060;&#46041;&#47196;&#48391;_&#44204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견적서"/>
      <sheetName val="Smart_견적서"/>
    </sheetNames>
    <sheetDataSet>
      <sheetData sheetId="0">
        <row r="6">
          <cell r="C6" t="str">
            <v>알루미늄 프로파일 프레임</v>
          </cell>
          <cell r="D6" t="str">
            <v>4040 알루미늄 프로파일, 800x600x400mm</v>
          </cell>
          <cell r="E6">
            <v>1</v>
          </cell>
          <cell r="F6">
            <v>2100000</v>
          </cell>
        </row>
        <row r="7">
          <cell r="C7" t="str">
            <v>프레임 연결부품 세트</v>
          </cell>
          <cell r="D7" t="str">
            <v>브라켓, 볼트, 너트 일체</v>
          </cell>
          <cell r="E7">
            <v>1</v>
          </cell>
          <cell r="F7">
            <v>450000</v>
          </cell>
        </row>
        <row r="8">
          <cell r="C8" t="str">
            <v>상판 플레이트</v>
          </cell>
          <cell r="D8" t="str">
            <v>알루미늄 5T, 가공 포함</v>
          </cell>
          <cell r="E8">
            <v>1</v>
          </cell>
          <cell r="F8">
            <v>550000</v>
          </cell>
        </row>
        <row r="9">
          <cell r="C9" t="str">
            <v>메카넘휠</v>
          </cell>
          <cell r="E9">
            <v>4</v>
          </cell>
          <cell r="F9">
            <v>1400000</v>
          </cell>
        </row>
        <row r="10">
          <cell r="C10" t="str">
            <v>휠 허브 어댑터</v>
          </cell>
          <cell r="D10" t="str">
            <v>서보모터 축 결합용</v>
          </cell>
          <cell r="E10">
            <v>4</v>
          </cell>
          <cell r="F10">
            <v>250000</v>
          </cell>
        </row>
        <row r="11">
          <cell r="E11">
            <v>1</v>
          </cell>
          <cell r="F11">
            <v>80000</v>
          </cell>
        </row>
        <row r="12">
          <cell r="E12">
            <v>4</v>
          </cell>
          <cell r="F12">
            <v>2800000</v>
          </cell>
        </row>
        <row r="13">
          <cell r="E13">
            <v>4</v>
          </cell>
          <cell r="F13">
            <v>3600000</v>
          </cell>
        </row>
        <row r="14">
          <cell r="E14">
            <v>2</v>
          </cell>
          <cell r="F14">
            <v>50000</v>
          </cell>
        </row>
        <row r="15">
          <cell r="E15">
            <v>1</v>
          </cell>
          <cell r="F15">
            <v>250000</v>
          </cell>
        </row>
        <row r="16">
          <cell r="E16">
            <v>1</v>
          </cell>
          <cell r="F16">
            <v>350000</v>
          </cell>
        </row>
        <row r="17">
          <cell r="E17">
            <v>1</v>
          </cell>
          <cell r="F17">
            <v>80000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C12" sqref="C12"/>
    </sheetView>
  </sheetViews>
  <sheetFormatPr baseColWidth="10" defaultColWidth="8.83203125" defaultRowHeight="17"/>
  <cols>
    <col min="1" max="1" width="6" customWidth="1"/>
    <col min="2" max="2" width="15" customWidth="1"/>
    <col min="3" max="3" width="25" customWidth="1"/>
    <col min="4" max="4" width="35" customWidth="1"/>
    <col min="5" max="5" width="8" customWidth="1"/>
    <col min="6" max="6" width="18" customWidth="1"/>
  </cols>
  <sheetData>
    <row r="1" spans="1:6" ht="30" customHeight="1">
      <c r="A1" s="14" t="s">
        <v>0</v>
      </c>
      <c r="B1" s="9"/>
      <c r="C1" s="9"/>
      <c r="D1" s="9"/>
      <c r="E1" s="9"/>
      <c r="F1" s="9"/>
    </row>
    <row r="2" spans="1:6" ht="20" customHeight="1">
      <c r="A2" s="8" t="s">
        <v>1</v>
      </c>
      <c r="B2" s="9"/>
      <c r="C2" s="9"/>
      <c r="D2" s="9"/>
      <c r="E2" s="9"/>
      <c r="F2" s="9"/>
    </row>
    <row r="3" spans="1:6" ht="25" customHeight="1">
      <c r="A3" s="18" t="s">
        <v>2</v>
      </c>
      <c r="B3" s="9"/>
      <c r="C3" s="9"/>
      <c r="D3" s="9"/>
      <c r="E3" s="9"/>
      <c r="F3" s="9"/>
    </row>
    <row r="5" spans="1:6" ht="2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>
        <v>1</v>
      </c>
      <c r="B6" s="10" t="s">
        <v>9</v>
      </c>
      <c r="C6" s="3" t="s">
        <v>10</v>
      </c>
      <c r="D6" s="3" t="s">
        <v>11</v>
      </c>
      <c r="E6" s="2">
        <v>1</v>
      </c>
      <c r="F6" s="4">
        <v>2100000</v>
      </c>
    </row>
    <row r="7" spans="1:6">
      <c r="A7" s="2">
        <v>2</v>
      </c>
      <c r="B7" s="15"/>
      <c r="C7" s="3" t="s">
        <v>12</v>
      </c>
      <c r="D7" s="3" t="s">
        <v>13</v>
      </c>
      <c r="E7" s="2">
        <v>1</v>
      </c>
      <c r="F7" s="4">
        <v>450000</v>
      </c>
    </row>
    <row r="8" spans="1:6">
      <c r="A8" s="2">
        <v>3</v>
      </c>
      <c r="B8" s="11"/>
      <c r="C8" s="3" t="s">
        <v>14</v>
      </c>
      <c r="D8" s="3" t="s">
        <v>15</v>
      </c>
      <c r="E8" s="2">
        <v>1</v>
      </c>
      <c r="F8" s="4">
        <v>550000</v>
      </c>
    </row>
    <row r="9" spans="1:6">
      <c r="A9" s="2">
        <v>4</v>
      </c>
      <c r="B9" s="10" t="s">
        <v>16</v>
      </c>
      <c r="C9" s="3" t="s">
        <v>66</v>
      </c>
      <c r="D9" s="3" t="s">
        <v>63</v>
      </c>
      <c r="E9" s="2">
        <v>4</v>
      </c>
      <c r="F9" s="4">
        <v>1400000</v>
      </c>
    </row>
    <row r="10" spans="1:6">
      <c r="A10" s="2">
        <v>5</v>
      </c>
      <c r="B10" s="11"/>
      <c r="C10" s="3" t="s">
        <v>17</v>
      </c>
      <c r="D10" s="3" t="s">
        <v>67</v>
      </c>
      <c r="E10" s="2">
        <v>4</v>
      </c>
      <c r="F10" s="4">
        <v>250000</v>
      </c>
    </row>
    <row r="11" spans="1:6">
      <c r="A11" s="2">
        <v>6</v>
      </c>
      <c r="B11" s="10" t="s">
        <v>18</v>
      </c>
      <c r="C11" s="3" t="s">
        <v>19</v>
      </c>
      <c r="D11" s="3" t="s">
        <v>20</v>
      </c>
      <c r="E11" s="2">
        <v>1</v>
      </c>
      <c r="F11" s="4">
        <v>80000</v>
      </c>
    </row>
    <row r="12" spans="1:6">
      <c r="A12" s="2">
        <v>7</v>
      </c>
      <c r="B12" s="15"/>
      <c r="C12" s="3" t="s">
        <v>21</v>
      </c>
      <c r="D12" s="3" t="s">
        <v>22</v>
      </c>
      <c r="E12" s="2">
        <v>4</v>
      </c>
      <c r="F12" s="4">
        <v>2800000</v>
      </c>
    </row>
    <row r="13" spans="1:6">
      <c r="A13" s="2">
        <v>8</v>
      </c>
      <c r="B13" s="15"/>
      <c r="C13" s="3"/>
      <c r="D13" s="3"/>
      <c r="E13" s="2"/>
      <c r="F13" s="4"/>
    </row>
    <row r="14" spans="1:6">
      <c r="A14" s="2">
        <v>9</v>
      </c>
      <c r="B14" s="15"/>
      <c r="C14" s="3" t="s">
        <v>23</v>
      </c>
      <c r="D14" s="3" t="s">
        <v>24</v>
      </c>
      <c r="E14" s="2">
        <v>2</v>
      </c>
      <c r="F14" s="4">
        <v>50000</v>
      </c>
    </row>
    <row r="15" spans="1:6">
      <c r="A15" s="2">
        <v>10</v>
      </c>
      <c r="B15" s="15"/>
      <c r="C15" s="3" t="s">
        <v>25</v>
      </c>
      <c r="D15" s="3" t="s">
        <v>26</v>
      </c>
      <c r="E15" s="2">
        <v>1</v>
      </c>
      <c r="F15" s="4">
        <v>250000</v>
      </c>
    </row>
    <row r="16" spans="1:6">
      <c r="A16" s="2">
        <v>11</v>
      </c>
      <c r="B16" s="15"/>
      <c r="C16" s="3" t="s">
        <v>27</v>
      </c>
      <c r="D16" s="3" t="s">
        <v>28</v>
      </c>
      <c r="E16" s="2">
        <v>1</v>
      </c>
      <c r="F16" s="4">
        <v>350000</v>
      </c>
    </row>
    <row r="17" spans="1:6">
      <c r="A17" s="2">
        <v>12</v>
      </c>
      <c r="B17" s="11"/>
      <c r="C17" s="3" t="s">
        <v>29</v>
      </c>
      <c r="D17" s="3" t="s">
        <v>30</v>
      </c>
      <c r="E17" s="2">
        <v>1</v>
      </c>
      <c r="F17" s="4">
        <v>80000</v>
      </c>
    </row>
    <row r="18" spans="1:6">
      <c r="A18" s="2">
        <v>13</v>
      </c>
      <c r="B18" s="10" t="s">
        <v>31</v>
      </c>
      <c r="C18" s="3" t="s">
        <v>32</v>
      </c>
      <c r="D18" s="3" t="s">
        <v>33</v>
      </c>
      <c r="E18" s="2">
        <v>1</v>
      </c>
      <c r="F18" s="4">
        <v>1026364</v>
      </c>
    </row>
    <row r="19" spans="1:6">
      <c r="A19" s="2">
        <v>14</v>
      </c>
      <c r="B19" s="15"/>
      <c r="C19" s="3" t="s">
        <v>34</v>
      </c>
      <c r="D19" s="3" t="s">
        <v>35</v>
      </c>
      <c r="E19" s="2">
        <v>1</v>
      </c>
      <c r="F19" s="4">
        <v>300000</v>
      </c>
    </row>
    <row r="20" spans="1:6">
      <c r="A20" s="2">
        <v>15</v>
      </c>
      <c r="B20" s="15"/>
      <c r="C20" s="3" t="s">
        <v>36</v>
      </c>
      <c r="D20" s="3" t="s">
        <v>37</v>
      </c>
      <c r="E20" s="2">
        <v>1</v>
      </c>
      <c r="F20" s="4">
        <v>200000</v>
      </c>
    </row>
    <row r="21" spans="1:6">
      <c r="A21" s="2">
        <v>16</v>
      </c>
      <c r="B21" s="11"/>
      <c r="C21" s="3" t="s">
        <v>38</v>
      </c>
      <c r="D21" s="3" t="s">
        <v>39</v>
      </c>
      <c r="E21" s="2">
        <v>1</v>
      </c>
      <c r="F21" s="4">
        <v>150000</v>
      </c>
    </row>
    <row r="22" spans="1:6">
      <c r="A22" s="19" t="s">
        <v>40</v>
      </c>
      <c r="B22" s="17"/>
      <c r="C22" s="17"/>
      <c r="D22" s="17"/>
      <c r="E22" s="17"/>
      <c r="F22" s="5">
        <f>SUM(F6:F21)</f>
        <v>10036364</v>
      </c>
    </row>
    <row r="23" spans="1:6">
      <c r="A23" s="16" t="s">
        <v>41</v>
      </c>
      <c r="B23" s="17"/>
      <c r="C23" s="17"/>
      <c r="D23" s="17"/>
      <c r="E23" s="17"/>
      <c r="F23" s="4">
        <f>F22*0.1</f>
        <v>1003636.4</v>
      </c>
    </row>
    <row r="24" spans="1:6" ht="18">
      <c r="A24" s="12" t="s">
        <v>42</v>
      </c>
      <c r="B24" s="13"/>
      <c r="C24" s="13"/>
      <c r="D24" s="13"/>
      <c r="E24" s="13"/>
      <c r="F24" s="6">
        <f>F22+F23</f>
        <v>11040000.4</v>
      </c>
    </row>
    <row r="26" spans="1:6">
      <c r="A26" s="7" t="s">
        <v>43</v>
      </c>
    </row>
    <row r="27" spans="1:6">
      <c r="A27" t="s">
        <v>44</v>
      </c>
    </row>
    <row r="28" spans="1:6">
      <c r="A28" t="s">
        <v>45</v>
      </c>
    </row>
    <row r="29" spans="1:6">
      <c r="A29" t="s">
        <v>46</v>
      </c>
    </row>
    <row r="30" spans="1:6">
      <c r="A30" t="s">
        <v>47</v>
      </c>
    </row>
  </sheetData>
  <mergeCells count="10">
    <mergeCell ref="A2:F2"/>
    <mergeCell ref="B9:B10"/>
    <mergeCell ref="A24:E24"/>
    <mergeCell ref="A1:F1"/>
    <mergeCell ref="B18:B21"/>
    <mergeCell ref="A23:E23"/>
    <mergeCell ref="A3:F3"/>
    <mergeCell ref="A22:E22"/>
    <mergeCell ref="B6:B8"/>
    <mergeCell ref="B11:B1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activeCell="F25" sqref="F25"/>
    </sheetView>
  </sheetViews>
  <sheetFormatPr baseColWidth="10" defaultColWidth="8.83203125" defaultRowHeight="17"/>
  <cols>
    <col min="1" max="1" width="6" customWidth="1"/>
    <col min="2" max="2" width="15" customWidth="1"/>
    <col min="3" max="3" width="25" customWidth="1"/>
    <col min="4" max="4" width="35" customWidth="1"/>
    <col min="5" max="5" width="8" customWidth="1"/>
    <col min="6" max="6" width="18" customWidth="1"/>
  </cols>
  <sheetData>
    <row r="1" spans="1:6" ht="30" customHeight="1">
      <c r="A1" s="14" t="s">
        <v>48</v>
      </c>
      <c r="B1" s="9"/>
      <c r="C1" s="9"/>
      <c r="D1" s="9"/>
      <c r="E1" s="9"/>
      <c r="F1" s="9"/>
    </row>
    <row r="2" spans="1:6" ht="20" customHeight="1">
      <c r="A2" s="8" t="s">
        <v>1</v>
      </c>
      <c r="B2" s="9"/>
      <c r="C2" s="9"/>
      <c r="D2" s="9"/>
      <c r="E2" s="9"/>
      <c r="F2" s="9"/>
    </row>
    <row r="3" spans="1:6" ht="25" customHeight="1">
      <c r="A3" s="18" t="s">
        <v>2</v>
      </c>
      <c r="B3" s="9"/>
      <c r="C3" s="9"/>
      <c r="D3" s="9"/>
      <c r="E3" s="9"/>
      <c r="F3" s="9"/>
    </row>
    <row r="5" spans="1:6" ht="2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>
        <v>1</v>
      </c>
      <c r="B6" s="10" t="s">
        <v>9</v>
      </c>
      <c r="C6" s="3" t="str">
        <f>[1]Basic_견적서!C6</f>
        <v>알루미늄 프로파일 프레임</v>
      </c>
      <c r="D6" s="3" t="str">
        <f>[1]Basic_견적서!D6</f>
        <v>4040 알루미늄 프로파일, 800x600x400mm</v>
      </c>
      <c r="E6" s="2">
        <f>[1]Basic_견적서!E6</f>
        <v>1</v>
      </c>
      <c r="F6" s="4">
        <f>[1]Basic_견적서!F6</f>
        <v>2100000</v>
      </c>
    </row>
    <row r="7" spans="1:6">
      <c r="A7" s="2">
        <v>2</v>
      </c>
      <c r="B7" s="15"/>
      <c r="C7" s="3" t="str">
        <f>[1]Basic_견적서!C7</f>
        <v>프레임 연결부품 세트</v>
      </c>
      <c r="D7" s="3" t="str">
        <f>[1]Basic_견적서!D7</f>
        <v>브라켓, 볼트, 너트 일체</v>
      </c>
      <c r="E7" s="2">
        <f>[1]Basic_견적서!E7</f>
        <v>1</v>
      </c>
      <c r="F7" s="4">
        <f>[1]Basic_견적서!F7</f>
        <v>450000</v>
      </c>
    </row>
    <row r="8" spans="1:6">
      <c r="A8" s="2">
        <v>3</v>
      </c>
      <c r="B8" s="15"/>
      <c r="C8" s="3" t="str">
        <f>[1]Basic_견적서!C8</f>
        <v>상판 플레이트</v>
      </c>
      <c r="D8" s="3" t="str">
        <f>[1]Basic_견적서!D8</f>
        <v>알루미늄 5T, 가공 포함</v>
      </c>
      <c r="E8" s="2">
        <f>[1]Basic_견적서!E8</f>
        <v>1</v>
      </c>
      <c r="F8" s="4">
        <f>[1]Basic_견적서!F8</f>
        <v>550000</v>
      </c>
    </row>
    <row r="9" spans="1:6">
      <c r="A9" s="2">
        <v>4</v>
      </c>
      <c r="B9" s="11"/>
      <c r="C9" s="3" t="s">
        <v>49</v>
      </c>
      <c r="D9" s="3" t="s">
        <v>50</v>
      </c>
      <c r="E9" s="2">
        <v>1</v>
      </c>
      <c r="F9" s="4">
        <v>200000</v>
      </c>
    </row>
    <row r="10" spans="1:6">
      <c r="A10" s="2">
        <v>5</v>
      </c>
      <c r="B10" s="10" t="s">
        <v>16</v>
      </c>
      <c r="C10" s="3" t="str">
        <f>[1]Basic_견적서!C9</f>
        <v>메카넘휠</v>
      </c>
      <c r="D10" s="3" t="str">
        <f>Basic_견적서!D9</f>
        <v>하중 50kg/개</v>
      </c>
      <c r="E10" s="2">
        <f>[1]Basic_견적서!E9</f>
        <v>4</v>
      </c>
      <c r="F10" s="4">
        <f>[1]Basic_견적서!F9</f>
        <v>1400000</v>
      </c>
    </row>
    <row r="11" spans="1:6">
      <c r="A11" s="2">
        <v>6</v>
      </c>
      <c r="B11" s="11"/>
      <c r="C11" s="3" t="str">
        <f>[1]Basic_견적서!C10</f>
        <v>휠 허브 어댑터</v>
      </c>
      <c r="D11" s="3" t="str">
        <f>[1]Basic_견적서!D10</f>
        <v>서보모터 축 결합용</v>
      </c>
      <c r="E11" s="2">
        <f>[1]Basic_견적서!E10</f>
        <v>4</v>
      </c>
      <c r="F11" s="4">
        <f>[1]Basic_견적서!F10</f>
        <v>250000</v>
      </c>
    </row>
    <row r="12" spans="1:6">
      <c r="A12" s="2">
        <v>7</v>
      </c>
      <c r="B12" s="10" t="s">
        <v>18</v>
      </c>
      <c r="C12" s="3" t="str">
        <f>Basic_견적서!C11</f>
        <v>ESP32-S3 메인 컨트롤러</v>
      </c>
      <c r="D12" s="3" t="str">
        <f>Basic_견적서!D11</f>
        <v>ESP32-S3-WROOM-1, 듀얼코어</v>
      </c>
      <c r="E12" s="2">
        <f>[1]Basic_견적서!E11</f>
        <v>1</v>
      </c>
      <c r="F12" s="4">
        <f>[1]Basic_견적서!F11</f>
        <v>80000</v>
      </c>
    </row>
    <row r="13" spans="1:6">
      <c r="A13" s="2">
        <v>8</v>
      </c>
      <c r="B13" s="15"/>
      <c r="C13" s="3" t="str">
        <f>Basic_견적서!C12</f>
        <v>RS485 서보 드라이버</v>
      </c>
      <c r="D13" s="3" t="str">
        <f>Basic_견적서!D12</f>
        <v>Lichuan DS_R 485 서보 드라이버</v>
      </c>
      <c r="E13" s="2">
        <f>[1]Basic_견적서!E12</f>
        <v>4</v>
      </c>
      <c r="F13" s="4">
        <f>[1]Basic_견적서!F12</f>
        <v>2800000</v>
      </c>
    </row>
    <row r="14" spans="1:6">
      <c r="A14" s="2">
        <v>9</v>
      </c>
      <c r="B14" s="15"/>
      <c r="C14" s="3">
        <f>Basic_견적서!C13</f>
        <v>0</v>
      </c>
      <c r="D14" s="3">
        <f>Basic_견적서!D13</f>
        <v>0</v>
      </c>
      <c r="E14" s="2">
        <f>[1]Basic_견적서!E13</f>
        <v>4</v>
      </c>
      <c r="F14" s="4">
        <f>[1]Basic_견적서!F13</f>
        <v>3600000</v>
      </c>
    </row>
    <row r="15" spans="1:6">
      <c r="A15" s="2">
        <v>10</v>
      </c>
      <c r="B15" s="15"/>
      <c r="C15" s="3" t="str">
        <f>Basic_견적서!C14</f>
        <v>RS485 통신 모듈</v>
      </c>
      <c r="D15" s="3" t="str">
        <f>Basic_견적서!D14</f>
        <v>MAX485 기반 통신 모듈</v>
      </c>
      <c r="E15" s="2">
        <f>[1]Basic_견적서!E14</f>
        <v>2</v>
      </c>
      <c r="F15" s="4">
        <f>[1]Basic_견적서!F14</f>
        <v>50000</v>
      </c>
    </row>
    <row r="16" spans="1:6">
      <c r="A16" s="2">
        <v>11</v>
      </c>
      <c r="B16" s="15"/>
      <c r="C16" s="3" t="str">
        <f>Basic_견적서!C15</f>
        <v>컨트롤 박스 인클로저</v>
      </c>
      <c r="D16" s="3" t="str">
        <f>Basic_견적서!D15</f>
        <v>IP65 방수 박스, 300x200x150mm</v>
      </c>
      <c r="E16" s="2">
        <f>[1]Basic_견적서!E15</f>
        <v>1</v>
      </c>
      <c r="F16" s="4">
        <f>[1]Basic_견적서!F15</f>
        <v>250000</v>
      </c>
    </row>
    <row r="17" spans="1:6">
      <c r="A17" s="2">
        <v>12</v>
      </c>
      <c r="B17" s="15"/>
      <c r="C17" s="3" t="str">
        <f>Basic_견적서!C16</f>
        <v>배선 및 커넥터</v>
      </c>
      <c r="D17" s="3" t="str">
        <f>Basic_견적서!D16</f>
        <v>전원/통신 케이블, 커넥터 일체</v>
      </c>
      <c r="E17" s="2">
        <f>[1]Basic_견적서!E16</f>
        <v>1</v>
      </c>
      <c r="F17" s="4">
        <f>[1]Basic_견적서!F16</f>
        <v>350000</v>
      </c>
    </row>
    <row r="18" spans="1:6">
      <c r="A18" s="2">
        <v>13</v>
      </c>
      <c r="B18" s="11"/>
      <c r="C18" s="3" t="str">
        <f>Basic_견적서!C17</f>
        <v>비상정지 스위치</v>
      </c>
      <c r="D18" s="3" t="str">
        <f>Basic_견적서!D17</f>
        <v>비상정지 버튼 및 리셋 스위치</v>
      </c>
      <c r="E18" s="2">
        <f>[1]Basic_견적서!E17</f>
        <v>1</v>
      </c>
      <c r="F18" s="4">
        <f>[1]Basic_견적서!F17</f>
        <v>80000</v>
      </c>
    </row>
    <row r="19" spans="1:6">
      <c r="A19" s="2">
        <v>14</v>
      </c>
      <c r="B19" s="10" t="s">
        <v>31</v>
      </c>
      <c r="C19" s="3" t="str">
        <f>Basic_견적서!C18</f>
        <v>리튬이온 배터리 팩</v>
      </c>
      <c r="D19" s="3" t="str">
        <f>Basic_견적서!D18</f>
        <v>48V 20Ah 리튬이온 배터리</v>
      </c>
      <c r="E19" s="2">
        <v>1</v>
      </c>
      <c r="F19" s="4">
        <v>1800000</v>
      </c>
    </row>
    <row r="20" spans="1:6">
      <c r="A20" s="2">
        <v>15</v>
      </c>
      <c r="B20" s="15"/>
      <c r="C20" s="3" t="str">
        <f>Basic_견적서!C19</f>
        <v>스마트 충전기</v>
      </c>
      <c r="D20" s="3" t="str">
        <f>Basic_견적서!D19</f>
        <v>48V 5A 스마트 충전기</v>
      </c>
      <c r="E20" s="2">
        <v>1</v>
      </c>
      <c r="F20" s="4">
        <v>450000</v>
      </c>
    </row>
    <row r="21" spans="1:6">
      <c r="A21" s="2">
        <v>16</v>
      </c>
      <c r="B21" s="15"/>
      <c r="C21" s="3" t="str">
        <f>Basic_견적서!C20</f>
        <v>BMS (배터리 관리 시스템)</v>
      </c>
      <c r="D21" s="3" t="str">
        <f>Basic_견적서!D20</f>
        <v>48V BMS, 과충전/과방전 보호</v>
      </c>
      <c r="E21" s="2">
        <v>1</v>
      </c>
      <c r="F21" s="4">
        <v>250000</v>
      </c>
    </row>
    <row r="22" spans="1:6">
      <c r="A22" s="2">
        <v>17</v>
      </c>
      <c r="B22" s="11"/>
      <c r="C22" s="3" t="str">
        <f>Basic_견적서!C21</f>
        <v>전원 분배 보드</v>
      </c>
      <c r="D22" s="3" t="str">
        <f>Basic_견적서!D21</f>
        <v>DC-DC 컨버터 포함</v>
      </c>
      <c r="E22" s="2">
        <v>1</v>
      </c>
      <c r="F22" s="4">
        <v>221818</v>
      </c>
    </row>
    <row r="23" spans="1:6">
      <c r="A23" s="2">
        <v>18</v>
      </c>
      <c r="B23" s="10" t="s">
        <v>51</v>
      </c>
      <c r="C23" s="3" t="s">
        <v>52</v>
      </c>
      <c r="D23" s="3" t="s">
        <v>53</v>
      </c>
      <c r="E23" s="2">
        <v>1</v>
      </c>
      <c r="F23" s="4">
        <v>650000</v>
      </c>
    </row>
    <row r="24" spans="1:6">
      <c r="A24" s="2">
        <v>19</v>
      </c>
      <c r="B24" s="15"/>
      <c r="C24" s="3" t="s">
        <v>54</v>
      </c>
      <c r="D24" s="3"/>
      <c r="E24" s="2">
        <v>1</v>
      </c>
      <c r="F24" s="4">
        <v>400000</v>
      </c>
    </row>
    <row r="25" spans="1:6">
      <c r="A25" s="2">
        <v>20</v>
      </c>
      <c r="B25" s="11"/>
      <c r="C25" s="3" t="s">
        <v>55</v>
      </c>
      <c r="D25" s="3" t="s">
        <v>56</v>
      </c>
      <c r="E25" s="2">
        <v>1</v>
      </c>
      <c r="F25" s="4">
        <v>50000</v>
      </c>
    </row>
    <row r="26" spans="1:6">
      <c r="A26" s="2">
        <v>21</v>
      </c>
      <c r="B26" s="10" t="s">
        <v>57</v>
      </c>
      <c r="C26" s="3" t="s">
        <v>58</v>
      </c>
      <c r="D26" s="3" t="s">
        <v>59</v>
      </c>
      <c r="E26" s="2">
        <v>1</v>
      </c>
      <c r="F26" s="4">
        <v>2000000</v>
      </c>
    </row>
    <row r="27" spans="1:6">
      <c r="A27" s="2">
        <v>22</v>
      </c>
      <c r="B27" s="15"/>
      <c r="C27" s="3" t="s">
        <v>60</v>
      </c>
      <c r="D27" s="3" t="s">
        <v>61</v>
      </c>
      <c r="E27" s="2">
        <v>1</v>
      </c>
      <c r="F27" s="4">
        <v>50000</v>
      </c>
    </row>
    <row r="28" spans="1:6">
      <c r="A28" s="2">
        <v>23</v>
      </c>
      <c r="B28" s="15"/>
      <c r="C28" s="3" t="s">
        <v>64</v>
      </c>
      <c r="D28" s="3" t="s">
        <v>65</v>
      </c>
      <c r="E28" s="2">
        <v>1</v>
      </c>
      <c r="F28" s="4">
        <v>50000</v>
      </c>
    </row>
    <row r="29" spans="1:6">
      <c r="A29" s="2">
        <v>24</v>
      </c>
      <c r="B29" s="11"/>
      <c r="C29" s="3" t="s">
        <v>62</v>
      </c>
      <c r="D29" s="3"/>
      <c r="E29" s="2">
        <v>1</v>
      </c>
      <c r="F29" s="4">
        <v>100000</v>
      </c>
    </row>
    <row r="30" spans="1:6">
      <c r="A30" s="19" t="s">
        <v>40</v>
      </c>
      <c r="B30" s="17"/>
      <c r="C30" s="17"/>
      <c r="D30" s="17"/>
      <c r="E30" s="17"/>
      <c r="F30" s="5">
        <f>SUM(F6:F29)</f>
        <v>18181818</v>
      </c>
    </row>
    <row r="31" spans="1:6">
      <c r="A31" s="16" t="s">
        <v>41</v>
      </c>
      <c r="B31" s="17"/>
      <c r="C31" s="17"/>
      <c r="D31" s="17"/>
      <c r="E31" s="17"/>
      <c r="F31" s="4">
        <f>F30*0.1</f>
        <v>1818181.8</v>
      </c>
    </row>
    <row r="32" spans="1:6" ht="18">
      <c r="A32" s="12" t="s">
        <v>42</v>
      </c>
      <c r="B32" s="13"/>
      <c r="C32" s="13"/>
      <c r="D32" s="13"/>
      <c r="E32" s="13"/>
      <c r="F32" s="6">
        <f>F30+F31</f>
        <v>19999999.800000001</v>
      </c>
    </row>
    <row r="34" spans="1:1">
      <c r="A34" s="7" t="s">
        <v>43</v>
      </c>
    </row>
    <row r="35" spans="1:1">
      <c r="A35" t="s">
        <v>44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</sheetData>
  <mergeCells count="12">
    <mergeCell ref="A32:E32"/>
    <mergeCell ref="B10:B11"/>
    <mergeCell ref="B12:B18"/>
    <mergeCell ref="A3:F3"/>
    <mergeCell ref="B19:B22"/>
    <mergeCell ref="A31:E31"/>
    <mergeCell ref="A30:E30"/>
    <mergeCell ref="A2:F2"/>
    <mergeCell ref="B23:B25"/>
    <mergeCell ref="A1:F1"/>
    <mergeCell ref="B26:B29"/>
    <mergeCell ref="B6:B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Basic_견적서</vt:lpstr>
      <vt:lpstr>Smart_견적서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성민 옥</cp:lastModifiedBy>
  <dcterms:created xsi:type="dcterms:W3CDTF">2026-01-24T08:24:55Z</dcterms:created>
  <dcterms:modified xsi:type="dcterms:W3CDTF">2026-01-26T00:16:00Z</dcterms:modified>
</cp:coreProperties>
</file>